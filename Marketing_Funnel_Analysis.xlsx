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Funnel Summary" sheetId="2" state="visible" r:id="rId2"/>
    <sheet xmlns:r="http://schemas.openxmlformats.org/officeDocument/2006/relationships" name="Channel Analysis" sheetId="3" state="visible" r:id="rId3"/>
    <sheet xmlns:r="http://schemas.openxmlformats.org/officeDocument/2006/relationships" name="Monthly Trends" sheetId="4" state="visible" r:id="rId4"/>
    <sheet xmlns:r="http://schemas.openxmlformats.org/officeDocument/2006/relationships" name="Metrics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6"/>
    </font>
    <font>
      <name val="Arial"/>
      <i val="1"/>
      <color rgb="00595959"/>
      <sz val="10"/>
    </font>
    <font>
      <name val="Arial"/>
      <b val="1"/>
      <color rgb="001F4E79"/>
      <sz val="9"/>
    </font>
    <font>
      <name val="Arial"/>
      <b val="1"/>
      <color rgb="001F4E79"/>
      <sz val="18"/>
    </font>
    <font>
      <name val="Arial"/>
      <b val="1"/>
      <color rgb="001E7145"/>
      <sz val="9"/>
    </font>
    <font>
      <name val="Arial"/>
      <b val="1"/>
      <color rgb="001E7145"/>
      <sz val="18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0"/>
    </font>
    <font>
      <name val="Arial"/>
      <color rgb="001F4E79"/>
      <sz val="10"/>
    </font>
    <font>
      <name val="Arial"/>
      <b val="1"/>
      <color rgb="007F6000"/>
      <sz val="10"/>
    </font>
    <font>
      <name val="Arial"/>
      <color rgb="007F6000"/>
      <sz val="10"/>
    </font>
    <font>
      <name val="Arial"/>
      <b val="1"/>
      <color rgb="001E7145"/>
      <sz val="10"/>
    </font>
    <font>
      <name val="Arial"/>
      <color rgb="001E7145"/>
      <sz val="10"/>
    </font>
    <font>
      <name val="Arial"/>
      <b val="1"/>
      <color rgb="001F4E79"/>
      <sz val="12"/>
    </font>
    <font>
      <name val="Arial"/>
      <b val="1"/>
      <color rgb="00C00000"/>
      <sz val="9"/>
    </font>
    <font>
      <name val="Arial"/>
      <color rgb="002C2C2C"/>
      <sz val="9"/>
    </font>
    <font>
      <name val="Arial"/>
      <b val="1"/>
      <color rgb="007F6000"/>
      <sz val="9"/>
    </font>
    <font>
      <name val="Arial"/>
      <b val="1"/>
      <color rgb="002C2C2C"/>
      <sz val="10"/>
    </font>
    <font>
      <name val="Arial"/>
      <color rgb="002C2C2C"/>
      <sz val="10"/>
    </font>
    <font>
      <name val="Arial"/>
      <b val="1"/>
      <color rgb="00C00000"/>
      <sz val="10"/>
    </font>
    <font>
      <name val="Arial"/>
      <i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D5E8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E75B6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3" fillId="5" borderId="0" pivotButton="0" quotePrefix="0" xfId="0"/>
    <xf numFmtId="0" fontId="4" fillId="5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3" fontId="10" fillId="3" borderId="1" applyAlignment="1" pivotButton="0" quotePrefix="0" xfId="0">
      <alignment horizontal="center" vertical="center"/>
    </xf>
    <xf numFmtId="1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3" fontId="12" fillId="6" borderId="1" applyAlignment="1" pivotButton="0" quotePrefix="0" xfId="0">
      <alignment horizontal="center" vertical="center"/>
    </xf>
    <xf numFmtId="10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3" fontId="14" fillId="8" borderId="1" applyAlignment="1" pivotButton="0" quotePrefix="0" xfId="0">
      <alignment horizontal="center" vertical="center"/>
    </xf>
    <xf numFmtId="10" fontId="1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3" fontId="16" fillId="7" borderId="1" applyAlignment="1" pivotButton="0" quotePrefix="0" xfId="0">
      <alignment horizontal="center" vertical="center"/>
    </xf>
    <xf numFmtId="10" fontId="16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7" fillId="0" borderId="0" pivotButton="0" quotePrefix="0" xfId="0"/>
    <xf numFmtId="0" fontId="18" fillId="9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left" vertical="center"/>
    </xf>
    <xf numFmtId="3" fontId="22" fillId="3" borderId="1" applyAlignment="1" pivotButton="0" quotePrefix="0" xfId="0">
      <alignment horizontal="center" vertical="center"/>
    </xf>
    <xf numFmtId="10" fontId="22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/>
    </xf>
    <xf numFmtId="3" fontId="22" fillId="4" borderId="1" applyAlignment="1" pivotButton="0" quotePrefix="0" xfId="0">
      <alignment horizontal="center" vertical="center"/>
    </xf>
    <xf numFmtId="10" fontId="22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left" vertical="center"/>
    </xf>
    <xf numFmtId="3" fontId="1" fillId="10" borderId="1" applyAlignment="1" pivotButton="0" quotePrefix="0" xfId="0">
      <alignment horizontal="center" vertical="center"/>
    </xf>
    <xf numFmtId="10" fontId="1" fillId="1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center" vertical="center"/>
    </xf>
    <xf numFmtId="164" fontId="2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Visitors</t>
        </is>
      </c>
      <c r="D1" s="1" t="inlineStr">
        <is>
          <t>Leads</t>
        </is>
      </c>
      <c r="E1" s="1" t="inlineStr">
        <is>
          <t>MQLs</t>
        </is>
      </c>
      <c r="F1" s="1" t="inlineStr">
        <is>
          <t>SQLs</t>
        </is>
      </c>
      <c r="G1" s="1" t="inlineStr">
        <is>
          <t>Customers</t>
        </is>
      </c>
      <c r="H1" s="1" t="inlineStr">
        <is>
          <t>Lead Conv %</t>
        </is>
      </c>
      <c r="I1" s="1" t="inlineStr">
        <is>
          <t>MQL Conv %</t>
        </is>
      </c>
      <c r="J1" s="1" t="inlineStr">
        <is>
          <t>SQL Conv %</t>
        </is>
      </c>
      <c r="K1" s="1" t="inlineStr">
        <is>
          <t>Cust Conv %</t>
        </is>
      </c>
    </row>
    <row r="2">
      <c r="A2" s="2" t="inlineStr">
        <is>
          <t>2026-01-01</t>
        </is>
      </c>
      <c r="B2" s="2" t="inlineStr">
        <is>
          <t>Google Ads</t>
        </is>
      </c>
      <c r="C2" s="3" t="n">
        <v>221</v>
      </c>
      <c r="D2" s="3" t="n">
        <v>14</v>
      </c>
      <c r="E2" s="3" t="n">
        <v>3</v>
      </c>
      <c r="F2" s="3" t="n">
        <v>1</v>
      </c>
      <c r="G2" s="3" t="n">
        <v>0</v>
      </c>
      <c r="H2" s="4">
        <f>IFERROR(D2/C2,0)</f>
        <v/>
      </c>
      <c r="I2" s="4">
        <f>IFERROR(E2/D2,0)</f>
        <v/>
      </c>
      <c r="J2" s="4">
        <f>IFERROR(F2/E2,0)</f>
        <v/>
      </c>
      <c r="K2" s="4">
        <f>IFERROR(G2/C2,0)</f>
        <v/>
      </c>
    </row>
    <row r="3">
      <c r="A3" s="5" t="inlineStr">
        <is>
          <t>2026-01-01</t>
        </is>
      </c>
      <c r="B3" s="5" t="inlineStr">
        <is>
          <t>Facebook Ads</t>
        </is>
      </c>
      <c r="C3" s="6" t="n">
        <v>113</v>
      </c>
      <c r="D3" s="6" t="n">
        <v>4</v>
      </c>
      <c r="E3" s="6" t="n">
        <v>0</v>
      </c>
      <c r="F3" s="6" t="n">
        <v>0</v>
      </c>
      <c r="G3" s="6" t="n">
        <v>0</v>
      </c>
      <c r="H3" s="7">
        <f>IFERROR(D3/C3,0)</f>
        <v/>
      </c>
      <c r="I3" s="7">
        <f>IFERROR(E3/D3,0)</f>
        <v/>
      </c>
      <c r="J3" s="7">
        <f>IFERROR(F3/E3,0)</f>
        <v/>
      </c>
      <c r="K3" s="7">
        <f>IFERROR(G3/C3,0)</f>
        <v/>
      </c>
    </row>
    <row r="4">
      <c r="A4" s="2" t="inlineStr">
        <is>
          <t>2026-01-01</t>
        </is>
      </c>
      <c r="B4" s="2" t="inlineStr">
        <is>
          <t>Organic SEO</t>
        </is>
      </c>
      <c r="C4" s="3" t="n">
        <v>183</v>
      </c>
      <c r="D4" s="3" t="n">
        <v>13</v>
      </c>
      <c r="E4" s="3" t="n">
        <v>3</v>
      </c>
      <c r="F4" s="3" t="n">
        <v>1</v>
      </c>
      <c r="G4" s="3" t="n">
        <v>0</v>
      </c>
      <c r="H4" s="4">
        <f>IFERROR(D4/C4,0)</f>
        <v/>
      </c>
      <c r="I4" s="4">
        <f>IFERROR(E4/D4,0)</f>
        <v/>
      </c>
      <c r="J4" s="4">
        <f>IFERROR(F4/E4,0)</f>
        <v/>
      </c>
      <c r="K4" s="4">
        <f>IFERROR(G4/C4,0)</f>
        <v/>
      </c>
    </row>
    <row r="5">
      <c r="A5" s="5" t="inlineStr">
        <is>
          <t>2026-01-01</t>
        </is>
      </c>
      <c r="B5" s="5" t="inlineStr">
        <is>
          <t>Email</t>
        </is>
      </c>
      <c r="C5" s="6" t="n">
        <v>131</v>
      </c>
      <c r="D5" s="6" t="n">
        <v>17</v>
      </c>
      <c r="E5" s="6" t="n">
        <v>4</v>
      </c>
      <c r="F5" s="6" t="n">
        <v>1</v>
      </c>
      <c r="G5" s="6" t="n">
        <v>1</v>
      </c>
      <c r="H5" s="7">
        <f>IFERROR(D5/C5,0)</f>
        <v/>
      </c>
      <c r="I5" s="7">
        <f>IFERROR(E5/D5,0)</f>
        <v/>
      </c>
      <c r="J5" s="7">
        <f>IFERROR(F5/E5,0)</f>
        <v/>
      </c>
      <c r="K5" s="7">
        <f>IFERROR(G5/C5,0)</f>
        <v/>
      </c>
    </row>
    <row r="6">
      <c r="A6" s="2" t="inlineStr">
        <is>
          <t>2026-01-01</t>
        </is>
      </c>
      <c r="B6" s="2" t="inlineStr">
        <is>
          <t>Referral</t>
        </is>
      </c>
      <c r="C6" s="3" t="n">
        <v>10</v>
      </c>
      <c r="D6" s="3" t="n">
        <v>1</v>
      </c>
      <c r="E6" s="3" t="n">
        <v>0</v>
      </c>
      <c r="F6" s="3" t="n">
        <v>0</v>
      </c>
      <c r="G6" s="3" t="n">
        <v>0</v>
      </c>
      <c r="H6" s="4">
        <f>IFERROR(D6/C6,0)</f>
        <v/>
      </c>
      <c r="I6" s="4">
        <f>IFERROR(E6/D6,0)</f>
        <v/>
      </c>
      <c r="J6" s="4">
        <f>IFERROR(F6/E6,0)</f>
        <v/>
      </c>
      <c r="K6" s="4">
        <f>IFERROR(G6/C6,0)</f>
        <v/>
      </c>
    </row>
    <row r="7">
      <c r="A7" s="5" t="inlineStr">
        <is>
          <t>2026-01-01</t>
        </is>
      </c>
      <c r="B7" s="5" t="inlineStr">
        <is>
          <t>Direct</t>
        </is>
      </c>
      <c r="C7" s="6" t="n">
        <v>37</v>
      </c>
      <c r="D7" s="6" t="n">
        <v>3</v>
      </c>
      <c r="E7" s="6" t="n">
        <v>0</v>
      </c>
      <c r="F7" s="6" t="n">
        <v>0</v>
      </c>
      <c r="G7" s="6" t="n">
        <v>0</v>
      </c>
      <c r="H7" s="7">
        <f>IFERROR(D7/C7,0)</f>
        <v/>
      </c>
      <c r="I7" s="7">
        <f>IFERROR(E7/D7,0)</f>
        <v/>
      </c>
      <c r="J7" s="7">
        <f>IFERROR(F7/E7,0)</f>
        <v/>
      </c>
      <c r="K7" s="7">
        <f>IFERROR(G7/C7,0)</f>
        <v/>
      </c>
    </row>
    <row r="8">
      <c r="A8" s="2" t="inlineStr">
        <is>
          <t>2026-01-02</t>
        </is>
      </c>
      <c r="B8" s="2" t="inlineStr">
        <is>
          <t>Google Ads</t>
        </is>
      </c>
      <c r="C8" s="3" t="n">
        <v>184</v>
      </c>
      <c r="D8" s="3" t="n">
        <v>15</v>
      </c>
      <c r="E8" s="3" t="n">
        <v>4</v>
      </c>
      <c r="F8" s="3" t="n">
        <v>1</v>
      </c>
      <c r="G8" s="3" t="n">
        <v>1</v>
      </c>
      <c r="H8" s="4">
        <f>IFERROR(D8/C8,0)</f>
        <v/>
      </c>
      <c r="I8" s="4">
        <f>IFERROR(E8/D8,0)</f>
        <v/>
      </c>
      <c r="J8" s="4">
        <f>IFERROR(F8/E8,0)</f>
        <v/>
      </c>
      <c r="K8" s="4">
        <f>IFERROR(G8/C8,0)</f>
        <v/>
      </c>
    </row>
    <row r="9">
      <c r="A9" s="5" t="inlineStr">
        <is>
          <t>2026-01-02</t>
        </is>
      </c>
      <c r="B9" s="5" t="inlineStr">
        <is>
          <t>Facebook Ads</t>
        </is>
      </c>
      <c r="C9" s="6" t="n">
        <v>148</v>
      </c>
      <c r="D9" s="6" t="n">
        <v>3</v>
      </c>
      <c r="E9" s="6" t="n">
        <v>0</v>
      </c>
      <c r="F9" s="6" t="n">
        <v>0</v>
      </c>
      <c r="G9" s="6" t="n">
        <v>0</v>
      </c>
      <c r="H9" s="7">
        <f>IFERROR(D9/C9,0)</f>
        <v/>
      </c>
      <c r="I9" s="7">
        <f>IFERROR(E9/D9,0)</f>
        <v/>
      </c>
      <c r="J9" s="7">
        <f>IFERROR(F9/E9,0)</f>
        <v/>
      </c>
      <c r="K9" s="7">
        <f>IFERROR(G9/C9,0)</f>
        <v/>
      </c>
    </row>
    <row r="10">
      <c r="A10" s="2" t="inlineStr">
        <is>
          <t>2026-01-02</t>
        </is>
      </c>
      <c r="B10" s="2" t="inlineStr">
        <is>
          <t>Organic SEO</t>
        </is>
      </c>
      <c r="C10" s="3" t="n">
        <v>226</v>
      </c>
      <c r="D10" s="3" t="n">
        <v>21</v>
      </c>
      <c r="E10" s="3" t="n">
        <v>4</v>
      </c>
      <c r="F10" s="3" t="n">
        <v>1</v>
      </c>
      <c r="G10" s="3" t="n">
        <v>1</v>
      </c>
      <c r="H10" s="4">
        <f>IFERROR(D10/C10,0)</f>
        <v/>
      </c>
      <c r="I10" s="4">
        <f>IFERROR(E10/D10,0)</f>
        <v/>
      </c>
      <c r="J10" s="4">
        <f>IFERROR(F10/E10,0)</f>
        <v/>
      </c>
      <c r="K10" s="4">
        <f>IFERROR(G10/C10,0)</f>
        <v/>
      </c>
    </row>
    <row r="11">
      <c r="A11" s="5" t="inlineStr">
        <is>
          <t>2026-01-02</t>
        </is>
      </c>
      <c r="B11" s="5" t="inlineStr">
        <is>
          <t>Email</t>
        </is>
      </c>
      <c r="C11" s="6" t="n">
        <v>77</v>
      </c>
      <c r="D11" s="6" t="n">
        <v>11</v>
      </c>
      <c r="E11" s="6" t="n">
        <v>3</v>
      </c>
      <c r="F11" s="6" t="n">
        <v>1</v>
      </c>
      <c r="G11" s="6" t="n">
        <v>1</v>
      </c>
      <c r="H11" s="7">
        <f>IFERROR(D11/C11,0)</f>
        <v/>
      </c>
      <c r="I11" s="7">
        <f>IFERROR(E11/D11,0)</f>
        <v/>
      </c>
      <c r="J11" s="7">
        <f>IFERROR(F11/E11,0)</f>
        <v/>
      </c>
      <c r="K11" s="7">
        <f>IFERROR(G11/C11,0)</f>
        <v/>
      </c>
    </row>
    <row r="12">
      <c r="A12" s="2" t="inlineStr">
        <is>
          <t>2026-01-02</t>
        </is>
      </c>
      <c r="B12" s="2" t="inlineStr">
        <is>
          <t>Referral</t>
        </is>
      </c>
      <c r="C12" s="3" t="n">
        <v>48</v>
      </c>
      <c r="D12" s="3" t="n">
        <v>7</v>
      </c>
      <c r="E12" s="3" t="n">
        <v>1</v>
      </c>
      <c r="F12" s="3" t="n">
        <v>0</v>
      </c>
      <c r="G12" s="3" t="n">
        <v>0</v>
      </c>
      <c r="H12" s="4">
        <f>IFERROR(D12/C12,0)</f>
        <v/>
      </c>
      <c r="I12" s="4">
        <f>IFERROR(E12/D12,0)</f>
        <v/>
      </c>
      <c r="J12" s="4">
        <f>IFERROR(F12/E12,0)</f>
        <v/>
      </c>
      <c r="K12" s="4">
        <f>IFERROR(G12/C12,0)</f>
        <v/>
      </c>
    </row>
    <row r="13">
      <c r="A13" s="5" t="inlineStr">
        <is>
          <t>2026-01-02</t>
        </is>
      </c>
      <c r="B13" s="5" t="inlineStr">
        <is>
          <t>Direct</t>
        </is>
      </c>
      <c r="C13" s="6" t="n">
        <v>44</v>
      </c>
      <c r="D13" s="6" t="n">
        <v>3</v>
      </c>
      <c r="E13" s="6" t="n">
        <v>0</v>
      </c>
      <c r="F13" s="6" t="n">
        <v>0</v>
      </c>
      <c r="G13" s="6" t="n">
        <v>0</v>
      </c>
      <c r="H13" s="7">
        <f>IFERROR(D13/C13,0)</f>
        <v/>
      </c>
      <c r="I13" s="7">
        <f>IFERROR(E13/D13,0)</f>
        <v/>
      </c>
      <c r="J13" s="7">
        <f>IFERROR(F13/E13,0)</f>
        <v/>
      </c>
      <c r="K13" s="7">
        <f>IFERROR(G13/C13,0)</f>
        <v/>
      </c>
    </row>
    <row r="14">
      <c r="A14" s="2" t="inlineStr">
        <is>
          <t>2026-01-03</t>
        </is>
      </c>
      <c r="B14" s="2" t="inlineStr">
        <is>
          <t>Google Ads</t>
        </is>
      </c>
      <c r="C14" s="3" t="n">
        <v>208</v>
      </c>
      <c r="D14" s="3" t="n">
        <v>18</v>
      </c>
      <c r="E14" s="3" t="n">
        <v>4</v>
      </c>
      <c r="F14" s="3" t="n">
        <v>1</v>
      </c>
      <c r="G14" s="3" t="n">
        <v>0</v>
      </c>
      <c r="H14" s="4">
        <f>IFERROR(D14/C14,0)</f>
        <v/>
      </c>
      <c r="I14" s="4">
        <f>IFERROR(E14/D14,0)</f>
        <v/>
      </c>
      <c r="J14" s="4">
        <f>IFERROR(F14/E14,0)</f>
        <v/>
      </c>
      <c r="K14" s="4">
        <f>IFERROR(G14/C14,0)</f>
        <v/>
      </c>
    </row>
    <row r="15">
      <c r="A15" s="5" t="inlineStr">
        <is>
          <t>2026-01-03</t>
        </is>
      </c>
      <c r="B15" s="5" t="inlineStr">
        <is>
          <t>Facebook Ads</t>
        </is>
      </c>
      <c r="C15" s="6" t="n">
        <v>181</v>
      </c>
      <c r="D15" s="6" t="n">
        <v>7</v>
      </c>
      <c r="E15" s="6" t="n">
        <v>1</v>
      </c>
      <c r="F15" s="6" t="n">
        <v>0</v>
      </c>
      <c r="G15" s="6" t="n">
        <v>0</v>
      </c>
      <c r="H15" s="7">
        <f>IFERROR(D15/C15,0)</f>
        <v/>
      </c>
      <c r="I15" s="7">
        <f>IFERROR(E15/D15,0)</f>
        <v/>
      </c>
      <c r="J15" s="7">
        <f>IFERROR(F15/E15,0)</f>
        <v/>
      </c>
      <c r="K15" s="7">
        <f>IFERROR(G15/C15,0)</f>
        <v/>
      </c>
    </row>
    <row r="16">
      <c r="A16" s="2" t="inlineStr">
        <is>
          <t>2026-01-03</t>
        </is>
      </c>
      <c r="B16" s="2" t="inlineStr">
        <is>
          <t>Organic SEO</t>
        </is>
      </c>
      <c r="C16" s="3" t="n">
        <v>187</v>
      </c>
      <c r="D16" s="3" t="n">
        <v>14</v>
      </c>
      <c r="E16" s="3" t="n">
        <v>3</v>
      </c>
      <c r="F16" s="3" t="n">
        <v>1</v>
      </c>
      <c r="G16" s="3" t="n">
        <v>0</v>
      </c>
      <c r="H16" s="4">
        <f>IFERROR(D16/C16,0)</f>
        <v/>
      </c>
      <c r="I16" s="4">
        <f>IFERROR(E16/D16,0)</f>
        <v/>
      </c>
      <c r="J16" s="4">
        <f>IFERROR(F16/E16,0)</f>
        <v/>
      </c>
      <c r="K16" s="4">
        <f>IFERROR(G16/C16,0)</f>
        <v/>
      </c>
    </row>
    <row r="17">
      <c r="A17" s="5" t="inlineStr">
        <is>
          <t>2026-01-03</t>
        </is>
      </c>
      <c r="B17" s="5" t="inlineStr">
        <is>
          <t>Email</t>
        </is>
      </c>
      <c r="C17" s="6" t="n">
        <v>67</v>
      </c>
      <c r="D17" s="6" t="n">
        <v>9</v>
      </c>
      <c r="E17" s="6" t="n">
        <v>2</v>
      </c>
      <c r="F17" s="6" t="n">
        <v>0</v>
      </c>
      <c r="G17" s="6" t="n">
        <v>1</v>
      </c>
      <c r="H17" s="7">
        <f>IFERROR(D17/C17,0)</f>
        <v/>
      </c>
      <c r="I17" s="7">
        <f>IFERROR(E17/D17,0)</f>
        <v/>
      </c>
      <c r="J17" s="7">
        <f>IFERROR(F17/E17,0)</f>
        <v/>
      </c>
      <c r="K17" s="7">
        <f>IFERROR(G17/C17,0)</f>
        <v/>
      </c>
    </row>
    <row r="18">
      <c r="A18" s="2" t="inlineStr">
        <is>
          <t>2026-01-03</t>
        </is>
      </c>
      <c r="B18" s="2" t="inlineStr">
        <is>
          <t>Referral</t>
        </is>
      </c>
      <c r="C18" s="3" t="n">
        <v>53</v>
      </c>
      <c r="D18" s="3" t="n">
        <v>7</v>
      </c>
      <c r="E18" s="3" t="n">
        <v>1</v>
      </c>
      <c r="F18" s="3" t="n">
        <v>0</v>
      </c>
      <c r="G18" s="3" t="n">
        <v>1</v>
      </c>
      <c r="H18" s="4">
        <f>IFERROR(D18/C18,0)</f>
        <v/>
      </c>
      <c r="I18" s="4">
        <f>IFERROR(E18/D18,0)</f>
        <v/>
      </c>
      <c r="J18" s="4">
        <f>IFERROR(F18/E18,0)</f>
        <v/>
      </c>
      <c r="K18" s="4">
        <f>IFERROR(G18/C18,0)</f>
        <v/>
      </c>
    </row>
    <row r="19">
      <c r="A19" s="5" t="inlineStr">
        <is>
          <t>2026-01-03</t>
        </is>
      </c>
      <c r="B19" s="5" t="inlineStr">
        <is>
          <t>Direct</t>
        </is>
      </c>
      <c r="C19" s="6" t="n">
        <v>41</v>
      </c>
      <c r="D19" s="6" t="n">
        <v>3</v>
      </c>
      <c r="E19" s="6" t="n">
        <v>0</v>
      </c>
      <c r="F19" s="6" t="n">
        <v>0</v>
      </c>
      <c r="G19" s="6" t="n">
        <v>0</v>
      </c>
      <c r="H19" s="7">
        <f>IFERROR(D19/C19,0)</f>
        <v/>
      </c>
      <c r="I19" s="7">
        <f>IFERROR(E19/D19,0)</f>
        <v/>
      </c>
      <c r="J19" s="7">
        <f>IFERROR(F19/E19,0)</f>
        <v/>
      </c>
      <c r="K19" s="7">
        <f>IFERROR(G19/C19,0)</f>
        <v/>
      </c>
    </row>
    <row r="20">
      <c r="A20" s="2" t="inlineStr">
        <is>
          <t>2026-01-04</t>
        </is>
      </c>
      <c r="B20" s="2" t="inlineStr">
        <is>
          <t>Google Ads</t>
        </is>
      </c>
      <c r="C20" s="3" t="n">
        <v>214</v>
      </c>
      <c r="D20" s="3" t="n">
        <v>16</v>
      </c>
      <c r="E20" s="3" t="n">
        <v>4</v>
      </c>
      <c r="F20" s="3" t="n">
        <v>1</v>
      </c>
      <c r="G20" s="3" t="n">
        <v>0</v>
      </c>
      <c r="H20" s="4">
        <f>IFERROR(D20/C20,0)</f>
        <v/>
      </c>
      <c r="I20" s="4">
        <f>IFERROR(E20/D20,0)</f>
        <v/>
      </c>
      <c r="J20" s="4">
        <f>IFERROR(F20/E20,0)</f>
        <v/>
      </c>
      <c r="K20" s="4">
        <f>IFERROR(G20/C20,0)</f>
        <v/>
      </c>
    </row>
    <row r="21">
      <c r="A21" s="5" t="inlineStr">
        <is>
          <t>2026-01-04</t>
        </is>
      </c>
      <c r="B21" s="5" t="inlineStr">
        <is>
          <t>Facebook Ads</t>
        </is>
      </c>
      <c r="C21" s="6" t="n">
        <v>111</v>
      </c>
      <c r="D21" s="6" t="n">
        <v>4</v>
      </c>
      <c r="E21" s="6" t="n">
        <v>0</v>
      </c>
      <c r="F21" s="6" t="n">
        <v>0</v>
      </c>
      <c r="G21" s="6" t="n">
        <v>0</v>
      </c>
      <c r="H21" s="7">
        <f>IFERROR(D21/C21,0)</f>
        <v/>
      </c>
      <c r="I21" s="7">
        <f>IFERROR(E21/D21,0)</f>
        <v/>
      </c>
      <c r="J21" s="7">
        <f>IFERROR(F21/E21,0)</f>
        <v/>
      </c>
      <c r="K21" s="7">
        <f>IFERROR(G21/C21,0)</f>
        <v/>
      </c>
    </row>
    <row r="22">
      <c r="A22" s="2" t="inlineStr">
        <is>
          <t>2026-01-04</t>
        </is>
      </c>
      <c r="B22" s="2" t="inlineStr">
        <is>
          <t>Organic SEO</t>
        </is>
      </c>
      <c r="C22" s="3" t="n">
        <v>267</v>
      </c>
      <c r="D22" s="3" t="n">
        <v>23</v>
      </c>
      <c r="E22" s="3" t="n">
        <v>5</v>
      </c>
      <c r="F22" s="3" t="n">
        <v>2</v>
      </c>
      <c r="G22" s="3" t="n">
        <v>1</v>
      </c>
      <c r="H22" s="4">
        <f>IFERROR(D22/C22,0)</f>
        <v/>
      </c>
      <c r="I22" s="4">
        <f>IFERROR(E22/D22,0)</f>
        <v/>
      </c>
      <c r="J22" s="4">
        <f>IFERROR(F22/E22,0)</f>
        <v/>
      </c>
      <c r="K22" s="4">
        <f>IFERROR(G22/C22,0)</f>
        <v/>
      </c>
    </row>
    <row r="23">
      <c r="A23" s="5" t="inlineStr">
        <is>
          <t>2026-01-04</t>
        </is>
      </c>
      <c r="B23" s="5" t="inlineStr">
        <is>
          <t>Email</t>
        </is>
      </c>
      <c r="C23" s="6" t="n">
        <v>107</v>
      </c>
      <c r="D23" s="6" t="n">
        <v>12</v>
      </c>
      <c r="E23" s="6" t="n">
        <v>3</v>
      </c>
      <c r="F23" s="6" t="n">
        <v>1</v>
      </c>
      <c r="G23" s="6" t="n">
        <v>1</v>
      </c>
      <c r="H23" s="7">
        <f>IFERROR(D23/C23,0)</f>
        <v/>
      </c>
      <c r="I23" s="7">
        <f>IFERROR(E23/D23,0)</f>
        <v/>
      </c>
      <c r="J23" s="7">
        <f>IFERROR(F23/E23,0)</f>
        <v/>
      </c>
      <c r="K23" s="7">
        <f>IFERROR(G23/C23,0)</f>
        <v/>
      </c>
    </row>
    <row r="24">
      <c r="A24" s="2" t="inlineStr">
        <is>
          <t>2026-01-04</t>
        </is>
      </c>
      <c r="B24" s="2" t="inlineStr">
        <is>
          <t>Referral</t>
        </is>
      </c>
      <c r="C24" s="3" t="n">
        <v>10</v>
      </c>
      <c r="D24" s="3" t="n">
        <v>1</v>
      </c>
      <c r="E24" s="3" t="n">
        <v>0</v>
      </c>
      <c r="F24" s="3" t="n">
        <v>0</v>
      </c>
      <c r="G24" s="3" t="n">
        <v>0</v>
      </c>
      <c r="H24" s="4">
        <f>IFERROR(D24/C24,0)</f>
        <v/>
      </c>
      <c r="I24" s="4">
        <f>IFERROR(E24/D24,0)</f>
        <v/>
      </c>
      <c r="J24" s="4">
        <f>IFERROR(F24/E24,0)</f>
        <v/>
      </c>
      <c r="K24" s="4">
        <f>IFERROR(G24/C24,0)</f>
        <v/>
      </c>
    </row>
    <row r="25">
      <c r="A25" s="5" t="inlineStr">
        <is>
          <t>2026-01-04</t>
        </is>
      </c>
      <c r="B25" s="5" t="inlineStr">
        <is>
          <t>Direct</t>
        </is>
      </c>
      <c r="C25" s="6" t="n">
        <v>24</v>
      </c>
      <c r="D25" s="6" t="n">
        <v>1</v>
      </c>
      <c r="E25" s="6" t="n">
        <v>0</v>
      </c>
      <c r="F25" s="6" t="n">
        <v>0</v>
      </c>
      <c r="G25" s="6" t="n">
        <v>0</v>
      </c>
      <c r="H25" s="7">
        <f>IFERROR(D25/C25,0)</f>
        <v/>
      </c>
      <c r="I25" s="7">
        <f>IFERROR(E25/D25,0)</f>
        <v/>
      </c>
      <c r="J25" s="7">
        <f>IFERROR(F25/E25,0)</f>
        <v/>
      </c>
      <c r="K25" s="7">
        <f>IFERROR(G25/C25,0)</f>
        <v/>
      </c>
    </row>
    <row r="26">
      <c r="A26" s="2" t="inlineStr">
        <is>
          <t>2026-01-05</t>
        </is>
      </c>
      <c r="B26" s="2" t="inlineStr">
        <is>
          <t>Google Ads</t>
        </is>
      </c>
      <c r="C26" s="3" t="n">
        <v>232</v>
      </c>
      <c r="D26" s="3" t="n">
        <v>16</v>
      </c>
      <c r="E26" s="3" t="n">
        <v>3</v>
      </c>
      <c r="F26" s="3" t="n">
        <v>1</v>
      </c>
      <c r="G26" s="3" t="n">
        <v>0</v>
      </c>
      <c r="H26" s="4">
        <f>IFERROR(D26/C26,0)</f>
        <v/>
      </c>
      <c r="I26" s="4">
        <f>IFERROR(E26/D26,0)</f>
        <v/>
      </c>
      <c r="J26" s="4">
        <f>IFERROR(F26/E26,0)</f>
        <v/>
      </c>
      <c r="K26" s="4">
        <f>IFERROR(G26/C26,0)</f>
        <v/>
      </c>
    </row>
    <row r="27">
      <c r="A27" s="5" t="inlineStr">
        <is>
          <t>2026-01-05</t>
        </is>
      </c>
      <c r="B27" s="5" t="inlineStr">
        <is>
          <t>Facebook Ads</t>
        </is>
      </c>
      <c r="C27" s="6" t="n">
        <v>180</v>
      </c>
      <c r="D27" s="6" t="n">
        <v>5</v>
      </c>
      <c r="E27" s="6" t="n">
        <v>1</v>
      </c>
      <c r="F27" s="6" t="n">
        <v>0</v>
      </c>
      <c r="G27" s="6" t="n">
        <v>0</v>
      </c>
      <c r="H27" s="7">
        <f>IFERROR(D27/C27,0)</f>
        <v/>
      </c>
      <c r="I27" s="7">
        <f>IFERROR(E27/D27,0)</f>
        <v/>
      </c>
      <c r="J27" s="7">
        <f>IFERROR(F27/E27,0)</f>
        <v/>
      </c>
      <c r="K27" s="7">
        <f>IFERROR(G27/C27,0)</f>
        <v/>
      </c>
    </row>
    <row r="28">
      <c r="A28" s="2" t="inlineStr">
        <is>
          <t>2026-01-05</t>
        </is>
      </c>
      <c r="B28" s="2" t="inlineStr">
        <is>
          <t>Organic SEO</t>
        </is>
      </c>
      <c r="C28" s="3" t="n">
        <v>277</v>
      </c>
      <c r="D28" s="3" t="n">
        <v>21</v>
      </c>
      <c r="E28" s="3" t="n">
        <v>6</v>
      </c>
      <c r="F28" s="3" t="n">
        <v>2</v>
      </c>
      <c r="G28" s="3" t="n">
        <v>1</v>
      </c>
      <c r="H28" s="4">
        <f>IFERROR(D28/C28,0)</f>
        <v/>
      </c>
      <c r="I28" s="4">
        <f>IFERROR(E28/D28,0)</f>
        <v/>
      </c>
      <c r="J28" s="4">
        <f>IFERROR(F28/E28,0)</f>
        <v/>
      </c>
      <c r="K28" s="4">
        <f>IFERROR(G28/C28,0)</f>
        <v/>
      </c>
    </row>
    <row r="29">
      <c r="A29" s="5" t="inlineStr">
        <is>
          <t>2026-01-05</t>
        </is>
      </c>
      <c r="B29" s="5" t="inlineStr">
        <is>
          <t>Email</t>
        </is>
      </c>
      <c r="C29" s="6" t="n">
        <v>116</v>
      </c>
      <c r="D29" s="6" t="n">
        <v>13</v>
      </c>
      <c r="E29" s="6" t="n">
        <v>3</v>
      </c>
      <c r="F29" s="6" t="n">
        <v>1</v>
      </c>
      <c r="G29" s="6" t="n">
        <v>1</v>
      </c>
      <c r="H29" s="7">
        <f>IFERROR(D29/C29,0)</f>
        <v/>
      </c>
      <c r="I29" s="7">
        <f>IFERROR(E29/D29,0)</f>
        <v/>
      </c>
      <c r="J29" s="7">
        <f>IFERROR(F29/E29,0)</f>
        <v/>
      </c>
      <c r="K29" s="7">
        <f>IFERROR(G29/C29,0)</f>
        <v/>
      </c>
    </row>
    <row r="30">
      <c r="A30" s="2" t="inlineStr">
        <is>
          <t>2026-01-05</t>
        </is>
      </c>
      <c r="B30" s="2" t="inlineStr">
        <is>
          <t>Referral</t>
        </is>
      </c>
      <c r="C30" s="3" t="n">
        <v>29</v>
      </c>
      <c r="D30" s="3" t="n">
        <v>3</v>
      </c>
      <c r="E30" s="3" t="n">
        <v>0</v>
      </c>
      <c r="F30" s="3" t="n">
        <v>0</v>
      </c>
      <c r="G30" s="3" t="n">
        <v>0</v>
      </c>
      <c r="H30" s="4">
        <f>IFERROR(D30/C30,0)</f>
        <v/>
      </c>
      <c r="I30" s="4">
        <f>IFERROR(E30/D30,0)</f>
        <v/>
      </c>
      <c r="J30" s="4">
        <f>IFERROR(F30/E30,0)</f>
        <v/>
      </c>
      <c r="K30" s="4">
        <f>IFERROR(G30/C30,0)</f>
        <v/>
      </c>
    </row>
    <row r="31">
      <c r="A31" s="5" t="inlineStr">
        <is>
          <t>2026-01-05</t>
        </is>
      </c>
      <c r="B31" s="5" t="inlineStr">
        <is>
          <t>Direct</t>
        </is>
      </c>
      <c r="C31" s="6" t="n">
        <v>103</v>
      </c>
      <c r="D31" s="6" t="n">
        <v>7</v>
      </c>
      <c r="E31" s="6" t="n">
        <v>1</v>
      </c>
      <c r="F31" s="6" t="n">
        <v>0</v>
      </c>
      <c r="G31" s="6" t="n">
        <v>0</v>
      </c>
      <c r="H31" s="7">
        <f>IFERROR(D31/C31,0)</f>
        <v/>
      </c>
      <c r="I31" s="7">
        <f>IFERROR(E31/D31,0)</f>
        <v/>
      </c>
      <c r="J31" s="7">
        <f>IFERROR(F31/E31,0)</f>
        <v/>
      </c>
      <c r="K31" s="7">
        <f>IFERROR(G31/C31,0)</f>
        <v/>
      </c>
    </row>
    <row r="32">
      <c r="A32" s="2" t="inlineStr">
        <is>
          <t>2026-01-06</t>
        </is>
      </c>
      <c r="B32" s="2" t="inlineStr">
        <is>
          <t>Google Ads</t>
        </is>
      </c>
      <c r="C32" s="3" t="n">
        <v>156</v>
      </c>
      <c r="D32" s="3" t="n">
        <v>13</v>
      </c>
      <c r="E32" s="3" t="n">
        <v>3</v>
      </c>
      <c r="F32" s="3" t="n">
        <v>1</v>
      </c>
      <c r="G32" s="3" t="n">
        <v>1</v>
      </c>
      <c r="H32" s="4">
        <f>IFERROR(D32/C32,0)</f>
        <v/>
      </c>
      <c r="I32" s="4">
        <f>IFERROR(E32/D32,0)</f>
        <v/>
      </c>
      <c r="J32" s="4">
        <f>IFERROR(F32/E32,0)</f>
        <v/>
      </c>
      <c r="K32" s="4">
        <f>IFERROR(G32/C32,0)</f>
        <v/>
      </c>
    </row>
    <row r="33">
      <c r="A33" s="5" t="inlineStr">
        <is>
          <t>2026-01-06</t>
        </is>
      </c>
      <c r="B33" s="5" t="inlineStr">
        <is>
          <t>Facebook Ads</t>
        </is>
      </c>
      <c r="C33" s="6" t="n">
        <v>177</v>
      </c>
      <c r="D33" s="6" t="n">
        <v>5</v>
      </c>
      <c r="E33" s="6" t="n">
        <v>1</v>
      </c>
      <c r="F33" s="6" t="n">
        <v>0</v>
      </c>
      <c r="G33" s="6" t="n">
        <v>0</v>
      </c>
      <c r="H33" s="7">
        <f>IFERROR(D33/C33,0)</f>
        <v/>
      </c>
      <c r="I33" s="7">
        <f>IFERROR(E33/D33,0)</f>
        <v/>
      </c>
      <c r="J33" s="7">
        <f>IFERROR(F33/E33,0)</f>
        <v/>
      </c>
      <c r="K33" s="7">
        <f>IFERROR(G33/C33,0)</f>
        <v/>
      </c>
    </row>
    <row r="34">
      <c r="A34" s="2" t="inlineStr">
        <is>
          <t>2026-01-06</t>
        </is>
      </c>
      <c r="B34" s="2" t="inlineStr">
        <is>
          <t>Organic SEO</t>
        </is>
      </c>
      <c r="C34" s="3" t="n">
        <v>205</v>
      </c>
      <c r="D34" s="3" t="n">
        <v>20</v>
      </c>
      <c r="E34" s="3" t="n">
        <v>5</v>
      </c>
      <c r="F34" s="3" t="n">
        <v>1</v>
      </c>
      <c r="G34" s="3" t="n">
        <v>1</v>
      </c>
      <c r="H34" s="4">
        <f>IFERROR(D34/C34,0)</f>
        <v/>
      </c>
      <c r="I34" s="4">
        <f>IFERROR(E34/D34,0)</f>
        <v/>
      </c>
      <c r="J34" s="4">
        <f>IFERROR(F34/E34,0)</f>
        <v/>
      </c>
      <c r="K34" s="4">
        <f>IFERROR(G34/C34,0)</f>
        <v/>
      </c>
    </row>
    <row r="35">
      <c r="A35" s="5" t="inlineStr">
        <is>
          <t>2026-01-06</t>
        </is>
      </c>
      <c r="B35" s="5" t="inlineStr">
        <is>
          <t>Email</t>
        </is>
      </c>
      <c r="C35" s="6" t="n">
        <v>106</v>
      </c>
      <c r="D35" s="6" t="n">
        <v>12</v>
      </c>
      <c r="E35" s="6" t="n">
        <v>2</v>
      </c>
      <c r="F35" s="6" t="n">
        <v>0</v>
      </c>
      <c r="G35" s="6" t="n">
        <v>1</v>
      </c>
      <c r="H35" s="7">
        <f>IFERROR(D35/C35,0)</f>
        <v/>
      </c>
      <c r="I35" s="7">
        <f>IFERROR(E35/D35,0)</f>
        <v/>
      </c>
      <c r="J35" s="7">
        <f>IFERROR(F35/E35,0)</f>
        <v/>
      </c>
      <c r="K35" s="7">
        <f>IFERROR(G35/C35,0)</f>
        <v/>
      </c>
    </row>
    <row r="36">
      <c r="A36" s="2" t="inlineStr">
        <is>
          <t>2026-01-06</t>
        </is>
      </c>
      <c r="B36" s="2" t="inlineStr">
        <is>
          <t>Referral</t>
        </is>
      </c>
      <c r="C36" s="3" t="n">
        <v>60</v>
      </c>
      <c r="D36" s="3" t="n">
        <v>8</v>
      </c>
      <c r="E36" s="3" t="n">
        <v>1</v>
      </c>
      <c r="F36" s="3" t="n">
        <v>0</v>
      </c>
      <c r="G36" s="3" t="n">
        <v>0</v>
      </c>
      <c r="H36" s="4">
        <f>IFERROR(D36/C36,0)</f>
        <v/>
      </c>
      <c r="I36" s="4">
        <f>IFERROR(E36/D36,0)</f>
        <v/>
      </c>
      <c r="J36" s="4">
        <f>IFERROR(F36/E36,0)</f>
        <v/>
      </c>
      <c r="K36" s="4">
        <f>IFERROR(G36/C36,0)</f>
        <v/>
      </c>
    </row>
    <row r="37">
      <c r="A37" s="5" t="inlineStr">
        <is>
          <t>2026-01-06</t>
        </is>
      </c>
      <c r="B37" s="5" t="inlineStr">
        <is>
          <t>Direct</t>
        </is>
      </c>
      <c r="C37" s="6" t="n">
        <v>39</v>
      </c>
      <c r="D37" s="6" t="n">
        <v>2</v>
      </c>
      <c r="E37" s="6" t="n">
        <v>0</v>
      </c>
      <c r="F37" s="6" t="n">
        <v>0</v>
      </c>
      <c r="G37" s="6" t="n">
        <v>0</v>
      </c>
      <c r="H37" s="7">
        <f>IFERROR(D37/C37,0)</f>
        <v/>
      </c>
      <c r="I37" s="7">
        <f>IFERROR(E37/D37,0)</f>
        <v/>
      </c>
      <c r="J37" s="7">
        <f>IFERROR(F37/E37,0)</f>
        <v/>
      </c>
      <c r="K37" s="7">
        <f>IFERROR(G37/C37,0)</f>
        <v/>
      </c>
    </row>
    <row r="38">
      <c r="A38" s="2" t="inlineStr">
        <is>
          <t>2026-01-07</t>
        </is>
      </c>
      <c r="B38" s="2" t="inlineStr">
        <is>
          <t>Google Ads</t>
        </is>
      </c>
      <c r="C38" s="3" t="n">
        <v>175</v>
      </c>
      <c r="D38" s="3" t="n">
        <v>15</v>
      </c>
      <c r="E38" s="3" t="n">
        <v>3</v>
      </c>
      <c r="F38" s="3" t="n">
        <v>1</v>
      </c>
      <c r="G38" s="3" t="n">
        <v>0</v>
      </c>
      <c r="H38" s="4">
        <f>IFERROR(D38/C38,0)</f>
        <v/>
      </c>
      <c r="I38" s="4">
        <f>IFERROR(E38/D38,0)</f>
        <v/>
      </c>
      <c r="J38" s="4">
        <f>IFERROR(F38/E38,0)</f>
        <v/>
      </c>
      <c r="K38" s="4">
        <f>IFERROR(G38/C38,0)</f>
        <v/>
      </c>
    </row>
    <row r="39">
      <c r="A39" s="5" t="inlineStr">
        <is>
          <t>2026-01-07</t>
        </is>
      </c>
      <c r="B39" s="5" t="inlineStr">
        <is>
          <t>Facebook Ads</t>
        </is>
      </c>
      <c r="C39" s="6" t="n">
        <v>173</v>
      </c>
      <c r="D39" s="6" t="n">
        <v>6</v>
      </c>
      <c r="E39" s="6" t="n">
        <v>1</v>
      </c>
      <c r="F39" s="6" t="n">
        <v>0</v>
      </c>
      <c r="G39" s="6" t="n">
        <v>0</v>
      </c>
      <c r="H39" s="7">
        <f>IFERROR(D39/C39,0)</f>
        <v/>
      </c>
      <c r="I39" s="7">
        <f>IFERROR(E39/D39,0)</f>
        <v/>
      </c>
      <c r="J39" s="7">
        <f>IFERROR(F39/E39,0)</f>
        <v/>
      </c>
      <c r="K39" s="7">
        <f>IFERROR(G39/C39,0)</f>
        <v/>
      </c>
    </row>
    <row r="40">
      <c r="A40" s="2" t="inlineStr">
        <is>
          <t>2026-01-07</t>
        </is>
      </c>
      <c r="B40" s="2" t="inlineStr">
        <is>
          <t>Organic SEO</t>
        </is>
      </c>
      <c r="C40" s="3" t="n">
        <v>192</v>
      </c>
      <c r="D40" s="3" t="n">
        <v>14</v>
      </c>
      <c r="E40" s="3" t="n">
        <v>3</v>
      </c>
      <c r="F40" s="3" t="n">
        <v>1</v>
      </c>
      <c r="G40" s="3" t="n">
        <v>0</v>
      </c>
      <c r="H40" s="4">
        <f>IFERROR(D40/C40,0)</f>
        <v/>
      </c>
      <c r="I40" s="4">
        <f>IFERROR(E40/D40,0)</f>
        <v/>
      </c>
      <c r="J40" s="4">
        <f>IFERROR(F40/E40,0)</f>
        <v/>
      </c>
      <c r="K40" s="4">
        <f>IFERROR(G40/C40,0)</f>
        <v/>
      </c>
    </row>
    <row r="41">
      <c r="A41" s="5" t="inlineStr">
        <is>
          <t>2026-01-07</t>
        </is>
      </c>
      <c r="B41" s="5" t="inlineStr">
        <is>
          <t>Email</t>
        </is>
      </c>
      <c r="C41" s="6" t="n">
        <v>133</v>
      </c>
      <c r="D41" s="6" t="n">
        <v>13</v>
      </c>
      <c r="E41" s="6" t="n">
        <v>3</v>
      </c>
      <c r="F41" s="6" t="n">
        <v>1</v>
      </c>
      <c r="G41" s="6" t="n">
        <v>1</v>
      </c>
      <c r="H41" s="7">
        <f>IFERROR(D41/C41,0)</f>
        <v/>
      </c>
      <c r="I41" s="7">
        <f>IFERROR(E41/D41,0)</f>
        <v/>
      </c>
      <c r="J41" s="7">
        <f>IFERROR(F41/E41,0)</f>
        <v/>
      </c>
      <c r="K41" s="7">
        <f>IFERROR(G41/C41,0)</f>
        <v/>
      </c>
    </row>
    <row r="42">
      <c r="A42" s="2" t="inlineStr">
        <is>
          <t>2026-01-07</t>
        </is>
      </c>
      <c r="B42" s="2" t="inlineStr">
        <is>
          <t>Referral</t>
        </is>
      </c>
      <c r="C42" s="3" t="n">
        <v>83</v>
      </c>
      <c r="D42" s="3" t="n">
        <v>11</v>
      </c>
      <c r="E42" s="3" t="n">
        <v>2</v>
      </c>
      <c r="F42" s="3" t="n">
        <v>0</v>
      </c>
      <c r="G42" s="3" t="n">
        <v>1</v>
      </c>
      <c r="H42" s="4">
        <f>IFERROR(D42/C42,0)</f>
        <v/>
      </c>
      <c r="I42" s="4">
        <f>IFERROR(E42/D42,0)</f>
        <v/>
      </c>
      <c r="J42" s="4">
        <f>IFERROR(F42/E42,0)</f>
        <v/>
      </c>
      <c r="K42" s="4">
        <f>IFERROR(G42/C42,0)</f>
        <v/>
      </c>
    </row>
    <row r="43">
      <c r="A43" s="5" t="inlineStr">
        <is>
          <t>2026-01-07</t>
        </is>
      </c>
      <c r="B43" s="5" t="inlineStr">
        <is>
          <t>Direct</t>
        </is>
      </c>
      <c r="C43" s="6" t="n">
        <v>67</v>
      </c>
      <c r="D43" s="6" t="n">
        <v>3</v>
      </c>
      <c r="E43" s="6" t="n">
        <v>0</v>
      </c>
      <c r="F43" s="6" t="n">
        <v>0</v>
      </c>
      <c r="G43" s="6" t="n">
        <v>0</v>
      </c>
      <c r="H43" s="7">
        <f>IFERROR(D43/C43,0)</f>
        <v/>
      </c>
      <c r="I43" s="7">
        <f>IFERROR(E43/D43,0)</f>
        <v/>
      </c>
      <c r="J43" s="7">
        <f>IFERROR(F43/E43,0)</f>
        <v/>
      </c>
      <c r="K43" s="7">
        <f>IFERROR(G43/C43,0)</f>
        <v/>
      </c>
    </row>
    <row r="44">
      <c r="A44" s="2" t="inlineStr">
        <is>
          <t>2026-01-08</t>
        </is>
      </c>
      <c r="B44" s="2" t="inlineStr">
        <is>
          <t>Google Ads</t>
        </is>
      </c>
      <c r="C44" s="3" t="n">
        <v>149</v>
      </c>
      <c r="D44" s="3" t="n">
        <v>11</v>
      </c>
      <c r="E44" s="3" t="n">
        <v>2</v>
      </c>
      <c r="F44" s="3" t="n">
        <v>0</v>
      </c>
      <c r="G44" s="3" t="n">
        <v>0</v>
      </c>
      <c r="H44" s="4">
        <f>IFERROR(D44/C44,0)</f>
        <v/>
      </c>
      <c r="I44" s="4">
        <f>IFERROR(E44/D44,0)</f>
        <v/>
      </c>
      <c r="J44" s="4">
        <f>IFERROR(F44/E44,0)</f>
        <v/>
      </c>
      <c r="K44" s="4">
        <f>IFERROR(G44/C44,0)</f>
        <v/>
      </c>
    </row>
    <row r="45">
      <c r="A45" s="5" t="inlineStr">
        <is>
          <t>2026-01-08</t>
        </is>
      </c>
      <c r="B45" s="5" t="inlineStr">
        <is>
          <t>Facebook Ads</t>
        </is>
      </c>
      <c r="C45" s="6" t="n">
        <v>169</v>
      </c>
      <c r="D45" s="6" t="n">
        <v>7</v>
      </c>
      <c r="E45" s="6" t="n">
        <v>2</v>
      </c>
      <c r="F45" s="6" t="n">
        <v>0</v>
      </c>
      <c r="G45" s="6" t="n">
        <v>0</v>
      </c>
      <c r="H45" s="7">
        <f>IFERROR(D45/C45,0)</f>
        <v/>
      </c>
      <c r="I45" s="7">
        <f>IFERROR(E45/D45,0)</f>
        <v/>
      </c>
      <c r="J45" s="7">
        <f>IFERROR(F45/E45,0)</f>
        <v/>
      </c>
      <c r="K45" s="7">
        <f>IFERROR(G45/C45,0)</f>
        <v/>
      </c>
    </row>
    <row r="46">
      <c r="A46" s="2" t="inlineStr">
        <is>
          <t>2026-01-08</t>
        </is>
      </c>
      <c r="B46" s="2" t="inlineStr">
        <is>
          <t>Organic SEO</t>
        </is>
      </c>
      <c r="C46" s="3" t="n">
        <v>201</v>
      </c>
      <c r="D46" s="3" t="n">
        <v>17</v>
      </c>
      <c r="E46" s="3" t="n">
        <v>4</v>
      </c>
      <c r="F46" s="3" t="n">
        <v>1</v>
      </c>
      <c r="G46" s="3" t="n">
        <v>1</v>
      </c>
      <c r="H46" s="4">
        <f>IFERROR(D46/C46,0)</f>
        <v/>
      </c>
      <c r="I46" s="4">
        <f>IFERROR(E46/D46,0)</f>
        <v/>
      </c>
      <c r="J46" s="4">
        <f>IFERROR(F46/E46,0)</f>
        <v/>
      </c>
      <c r="K46" s="4">
        <f>IFERROR(G46/C46,0)</f>
        <v/>
      </c>
    </row>
    <row r="47">
      <c r="A47" s="5" t="inlineStr">
        <is>
          <t>2026-01-08</t>
        </is>
      </c>
      <c r="B47" s="5" t="inlineStr">
        <is>
          <t>Email</t>
        </is>
      </c>
      <c r="C47" s="6" t="n">
        <v>61</v>
      </c>
      <c r="D47" s="6" t="n">
        <v>7</v>
      </c>
      <c r="E47" s="6" t="n">
        <v>1</v>
      </c>
      <c r="F47" s="6" t="n">
        <v>0</v>
      </c>
      <c r="G47" s="6" t="n">
        <v>0</v>
      </c>
      <c r="H47" s="7">
        <f>IFERROR(D47/C47,0)</f>
        <v/>
      </c>
      <c r="I47" s="7">
        <f>IFERROR(E47/D47,0)</f>
        <v/>
      </c>
      <c r="J47" s="7">
        <f>IFERROR(F47/E47,0)</f>
        <v/>
      </c>
      <c r="K47" s="7">
        <f>IFERROR(G47/C47,0)</f>
        <v/>
      </c>
    </row>
    <row r="48">
      <c r="A48" s="2" t="inlineStr">
        <is>
          <t>2026-01-08</t>
        </is>
      </c>
      <c r="B48" s="2" t="inlineStr">
        <is>
          <t>Referral</t>
        </is>
      </c>
      <c r="C48" s="3" t="n">
        <v>48</v>
      </c>
      <c r="D48" s="3" t="n">
        <v>6</v>
      </c>
      <c r="E48" s="3" t="n">
        <v>1</v>
      </c>
      <c r="F48" s="3" t="n">
        <v>0</v>
      </c>
      <c r="G48" s="3" t="n">
        <v>0</v>
      </c>
      <c r="H48" s="4">
        <f>IFERROR(D48/C48,0)</f>
        <v/>
      </c>
      <c r="I48" s="4">
        <f>IFERROR(E48/D48,0)</f>
        <v/>
      </c>
      <c r="J48" s="4">
        <f>IFERROR(F48/E48,0)</f>
        <v/>
      </c>
      <c r="K48" s="4">
        <f>IFERROR(G48/C48,0)</f>
        <v/>
      </c>
    </row>
    <row r="49">
      <c r="A49" s="5" t="inlineStr">
        <is>
          <t>2026-01-08</t>
        </is>
      </c>
      <c r="B49" s="5" t="inlineStr">
        <is>
          <t>Direct</t>
        </is>
      </c>
      <c r="C49" s="6" t="n">
        <v>94</v>
      </c>
      <c r="D49" s="6" t="n">
        <v>7</v>
      </c>
      <c r="E49" s="6" t="n">
        <v>1</v>
      </c>
      <c r="F49" s="6" t="n">
        <v>0</v>
      </c>
      <c r="G49" s="6" t="n">
        <v>0</v>
      </c>
      <c r="H49" s="7">
        <f>IFERROR(D49/C49,0)</f>
        <v/>
      </c>
      <c r="I49" s="7">
        <f>IFERROR(E49/D49,0)</f>
        <v/>
      </c>
      <c r="J49" s="7">
        <f>IFERROR(F49/E49,0)</f>
        <v/>
      </c>
      <c r="K49" s="7">
        <f>IFERROR(G49/C49,0)</f>
        <v/>
      </c>
    </row>
    <row r="50">
      <c r="A50" s="2" t="inlineStr">
        <is>
          <t>2026-01-09</t>
        </is>
      </c>
      <c r="B50" s="2" t="inlineStr">
        <is>
          <t>Google Ads</t>
        </is>
      </c>
      <c r="C50" s="3" t="n">
        <v>214</v>
      </c>
      <c r="D50" s="3" t="n">
        <v>19</v>
      </c>
      <c r="E50" s="3" t="n">
        <v>4</v>
      </c>
      <c r="F50" s="3" t="n">
        <v>1</v>
      </c>
      <c r="G50" s="3" t="n">
        <v>0</v>
      </c>
      <c r="H50" s="4">
        <f>IFERROR(D50/C50,0)</f>
        <v/>
      </c>
      <c r="I50" s="4">
        <f>IFERROR(E50/D50,0)</f>
        <v/>
      </c>
      <c r="J50" s="4">
        <f>IFERROR(F50/E50,0)</f>
        <v/>
      </c>
      <c r="K50" s="4">
        <f>IFERROR(G50/C50,0)</f>
        <v/>
      </c>
    </row>
    <row r="51">
      <c r="A51" s="5" t="inlineStr">
        <is>
          <t>2026-01-09</t>
        </is>
      </c>
      <c r="B51" s="5" t="inlineStr">
        <is>
          <t>Facebook Ads</t>
        </is>
      </c>
      <c r="C51" s="6" t="n">
        <v>161</v>
      </c>
      <c r="D51" s="6" t="n">
        <v>5</v>
      </c>
      <c r="E51" s="6" t="n">
        <v>1</v>
      </c>
      <c r="F51" s="6" t="n">
        <v>0</v>
      </c>
      <c r="G51" s="6" t="n">
        <v>0</v>
      </c>
      <c r="H51" s="7">
        <f>IFERROR(D51/C51,0)</f>
        <v/>
      </c>
      <c r="I51" s="7">
        <f>IFERROR(E51/D51,0)</f>
        <v/>
      </c>
      <c r="J51" s="7">
        <f>IFERROR(F51/E51,0)</f>
        <v/>
      </c>
      <c r="K51" s="7">
        <f>IFERROR(G51/C51,0)</f>
        <v/>
      </c>
    </row>
    <row r="52">
      <c r="A52" s="2" t="inlineStr">
        <is>
          <t>2026-01-09</t>
        </is>
      </c>
      <c r="B52" s="2" t="inlineStr">
        <is>
          <t>Organic SEO</t>
        </is>
      </c>
      <c r="C52" s="3" t="n">
        <v>190</v>
      </c>
      <c r="D52" s="3" t="n">
        <v>19</v>
      </c>
      <c r="E52" s="3" t="n">
        <v>4</v>
      </c>
      <c r="F52" s="3" t="n">
        <v>1</v>
      </c>
      <c r="G52" s="3" t="n">
        <v>1</v>
      </c>
      <c r="H52" s="4">
        <f>IFERROR(D52/C52,0)</f>
        <v/>
      </c>
      <c r="I52" s="4">
        <f>IFERROR(E52/D52,0)</f>
        <v/>
      </c>
      <c r="J52" s="4">
        <f>IFERROR(F52/E52,0)</f>
        <v/>
      </c>
      <c r="K52" s="4">
        <f>IFERROR(G52/C52,0)</f>
        <v/>
      </c>
    </row>
    <row r="53">
      <c r="A53" s="5" t="inlineStr">
        <is>
          <t>2026-01-09</t>
        </is>
      </c>
      <c r="B53" s="5" t="inlineStr">
        <is>
          <t>Email</t>
        </is>
      </c>
      <c r="C53" s="6" t="n">
        <v>91</v>
      </c>
      <c r="D53" s="6" t="n">
        <v>9</v>
      </c>
      <c r="E53" s="6" t="n">
        <v>2</v>
      </c>
      <c r="F53" s="6" t="n">
        <v>0</v>
      </c>
      <c r="G53" s="6" t="n">
        <v>1</v>
      </c>
      <c r="H53" s="7">
        <f>IFERROR(D53/C53,0)</f>
        <v/>
      </c>
      <c r="I53" s="7">
        <f>IFERROR(E53/D53,0)</f>
        <v/>
      </c>
      <c r="J53" s="7">
        <f>IFERROR(F53/E53,0)</f>
        <v/>
      </c>
      <c r="K53" s="7">
        <f>IFERROR(G53/C53,0)</f>
        <v/>
      </c>
    </row>
    <row r="54">
      <c r="A54" s="2" t="inlineStr">
        <is>
          <t>2026-01-09</t>
        </is>
      </c>
      <c r="B54" s="2" t="inlineStr">
        <is>
          <t>Referral</t>
        </is>
      </c>
      <c r="C54" s="3" t="n">
        <v>69</v>
      </c>
      <c r="D54" s="3" t="n">
        <v>8</v>
      </c>
      <c r="E54" s="3" t="n">
        <v>2</v>
      </c>
      <c r="F54" s="3" t="n">
        <v>0</v>
      </c>
      <c r="G54" s="3" t="n">
        <v>1</v>
      </c>
      <c r="H54" s="4">
        <f>IFERROR(D54/C54,0)</f>
        <v/>
      </c>
      <c r="I54" s="4">
        <f>IFERROR(E54/D54,0)</f>
        <v/>
      </c>
      <c r="J54" s="4">
        <f>IFERROR(F54/E54,0)</f>
        <v/>
      </c>
      <c r="K54" s="4">
        <f>IFERROR(G54/C54,0)</f>
        <v/>
      </c>
    </row>
    <row r="55">
      <c r="A55" s="5" t="inlineStr">
        <is>
          <t>2026-01-09</t>
        </is>
      </c>
      <c r="B55" s="5" t="inlineStr">
        <is>
          <t>Direct</t>
        </is>
      </c>
      <c r="C55" s="6" t="n">
        <v>43</v>
      </c>
      <c r="D55" s="6" t="n">
        <v>2</v>
      </c>
      <c r="E55" s="6" t="n">
        <v>0</v>
      </c>
      <c r="F55" s="6" t="n">
        <v>0</v>
      </c>
      <c r="G55" s="6" t="n">
        <v>0</v>
      </c>
      <c r="H55" s="7">
        <f>IFERROR(D55/C55,0)</f>
        <v/>
      </c>
      <c r="I55" s="7">
        <f>IFERROR(E55/D55,0)</f>
        <v/>
      </c>
      <c r="J55" s="7">
        <f>IFERROR(F55/E55,0)</f>
        <v/>
      </c>
      <c r="K55" s="7">
        <f>IFERROR(G55/C55,0)</f>
        <v/>
      </c>
    </row>
    <row r="56">
      <c r="A56" s="2" t="inlineStr">
        <is>
          <t>2026-01-10</t>
        </is>
      </c>
      <c r="B56" s="2" t="inlineStr">
        <is>
          <t>Google Ads</t>
        </is>
      </c>
      <c r="C56" s="3" t="n">
        <v>225</v>
      </c>
      <c r="D56" s="3" t="n">
        <v>19</v>
      </c>
      <c r="E56" s="3" t="n">
        <v>5</v>
      </c>
      <c r="F56" s="3" t="n">
        <v>2</v>
      </c>
      <c r="G56" s="3" t="n">
        <v>1</v>
      </c>
      <c r="H56" s="4">
        <f>IFERROR(D56/C56,0)</f>
        <v/>
      </c>
      <c r="I56" s="4">
        <f>IFERROR(E56/D56,0)</f>
        <v/>
      </c>
      <c r="J56" s="4">
        <f>IFERROR(F56/E56,0)</f>
        <v/>
      </c>
      <c r="K56" s="4">
        <f>IFERROR(G56/C56,0)</f>
        <v/>
      </c>
    </row>
    <row r="57">
      <c r="A57" s="5" t="inlineStr">
        <is>
          <t>2026-01-10</t>
        </is>
      </c>
      <c r="B57" s="5" t="inlineStr">
        <is>
          <t>Facebook Ads</t>
        </is>
      </c>
      <c r="C57" s="6" t="n">
        <v>101</v>
      </c>
      <c r="D57" s="6" t="n">
        <v>3</v>
      </c>
      <c r="E57" s="6" t="n">
        <v>0</v>
      </c>
      <c r="F57" s="6" t="n">
        <v>0</v>
      </c>
      <c r="G57" s="6" t="n">
        <v>0</v>
      </c>
      <c r="H57" s="7">
        <f>IFERROR(D57/C57,0)</f>
        <v/>
      </c>
      <c r="I57" s="7">
        <f>IFERROR(E57/D57,0)</f>
        <v/>
      </c>
      <c r="J57" s="7">
        <f>IFERROR(F57/E57,0)</f>
        <v/>
      </c>
      <c r="K57" s="7">
        <f>IFERROR(G57/C57,0)</f>
        <v/>
      </c>
    </row>
    <row r="58">
      <c r="A58" s="2" t="inlineStr">
        <is>
          <t>2026-01-10</t>
        </is>
      </c>
      <c r="B58" s="2" t="inlineStr">
        <is>
          <t>Organic SEO</t>
        </is>
      </c>
      <c r="C58" s="3" t="n">
        <v>207</v>
      </c>
      <c r="D58" s="3" t="n">
        <v>18</v>
      </c>
      <c r="E58" s="3" t="n">
        <v>4</v>
      </c>
      <c r="F58" s="3" t="n">
        <v>1</v>
      </c>
      <c r="G58" s="3" t="n">
        <v>0</v>
      </c>
      <c r="H58" s="4">
        <f>IFERROR(D58/C58,0)</f>
        <v/>
      </c>
      <c r="I58" s="4">
        <f>IFERROR(E58/D58,0)</f>
        <v/>
      </c>
      <c r="J58" s="4">
        <f>IFERROR(F58/E58,0)</f>
        <v/>
      </c>
      <c r="K58" s="4">
        <f>IFERROR(G58/C58,0)</f>
        <v/>
      </c>
    </row>
    <row r="59">
      <c r="A59" s="5" t="inlineStr">
        <is>
          <t>2026-01-10</t>
        </is>
      </c>
      <c r="B59" s="5" t="inlineStr">
        <is>
          <t>Email</t>
        </is>
      </c>
      <c r="C59" s="6" t="n">
        <v>71</v>
      </c>
      <c r="D59" s="6" t="n">
        <v>8</v>
      </c>
      <c r="E59" s="6" t="n">
        <v>2</v>
      </c>
      <c r="F59" s="6" t="n">
        <v>0</v>
      </c>
      <c r="G59" s="6" t="n">
        <v>0</v>
      </c>
      <c r="H59" s="7">
        <f>IFERROR(D59/C59,0)</f>
        <v/>
      </c>
      <c r="I59" s="7">
        <f>IFERROR(E59/D59,0)</f>
        <v/>
      </c>
      <c r="J59" s="7">
        <f>IFERROR(F59/E59,0)</f>
        <v/>
      </c>
      <c r="K59" s="7">
        <f>IFERROR(G59/C59,0)</f>
        <v/>
      </c>
    </row>
    <row r="60">
      <c r="A60" s="2" t="inlineStr">
        <is>
          <t>2026-01-10</t>
        </is>
      </c>
      <c r="B60" s="2" t="inlineStr">
        <is>
          <t>Referral</t>
        </is>
      </c>
      <c r="C60" s="3" t="n">
        <v>68</v>
      </c>
      <c r="D60" s="3" t="n">
        <v>12</v>
      </c>
      <c r="E60" s="3" t="n">
        <v>3</v>
      </c>
      <c r="F60" s="3" t="n">
        <v>1</v>
      </c>
      <c r="G60" s="3" t="n">
        <v>1</v>
      </c>
      <c r="H60" s="4">
        <f>IFERROR(D60/C60,0)</f>
        <v/>
      </c>
      <c r="I60" s="4">
        <f>IFERROR(E60/D60,0)</f>
        <v/>
      </c>
      <c r="J60" s="4">
        <f>IFERROR(F60/E60,0)</f>
        <v/>
      </c>
      <c r="K60" s="4">
        <f>IFERROR(G60/C60,0)</f>
        <v/>
      </c>
    </row>
    <row r="61">
      <c r="A61" s="5" t="inlineStr">
        <is>
          <t>2026-01-10</t>
        </is>
      </c>
      <c r="B61" s="5" t="inlineStr">
        <is>
          <t>Direct</t>
        </is>
      </c>
      <c r="C61" s="6" t="n">
        <v>80</v>
      </c>
      <c r="D61" s="6" t="n">
        <v>4</v>
      </c>
      <c r="E61" s="6" t="n">
        <v>1</v>
      </c>
      <c r="F61" s="6" t="n">
        <v>0</v>
      </c>
      <c r="G61" s="6" t="n">
        <v>0</v>
      </c>
      <c r="H61" s="7">
        <f>IFERROR(D61/C61,0)</f>
        <v/>
      </c>
      <c r="I61" s="7">
        <f>IFERROR(E61/D61,0)</f>
        <v/>
      </c>
      <c r="J61" s="7">
        <f>IFERROR(F61/E61,0)</f>
        <v/>
      </c>
      <c r="K61" s="7">
        <f>IFERROR(G61/C61,0)</f>
        <v/>
      </c>
    </row>
    <row r="62">
      <c r="A62" s="2" t="inlineStr">
        <is>
          <t>2026-01-11</t>
        </is>
      </c>
      <c r="B62" s="2" t="inlineStr">
        <is>
          <t>Google Ads</t>
        </is>
      </c>
      <c r="C62" s="3" t="n">
        <v>154</v>
      </c>
      <c r="D62" s="3" t="n">
        <v>14</v>
      </c>
      <c r="E62" s="3" t="n">
        <v>3</v>
      </c>
      <c r="F62" s="3" t="n">
        <v>1</v>
      </c>
      <c r="G62" s="3" t="n">
        <v>0</v>
      </c>
      <c r="H62" s="4">
        <f>IFERROR(D62/C62,0)</f>
        <v/>
      </c>
      <c r="I62" s="4">
        <f>IFERROR(E62/D62,0)</f>
        <v/>
      </c>
      <c r="J62" s="4">
        <f>IFERROR(F62/E62,0)</f>
        <v/>
      </c>
      <c r="K62" s="4">
        <f>IFERROR(G62/C62,0)</f>
        <v/>
      </c>
    </row>
    <row r="63">
      <c r="A63" s="5" t="inlineStr">
        <is>
          <t>2026-01-11</t>
        </is>
      </c>
      <c r="B63" s="5" t="inlineStr">
        <is>
          <t>Facebook Ads</t>
        </is>
      </c>
      <c r="C63" s="6" t="n">
        <v>126</v>
      </c>
      <c r="D63" s="6" t="n">
        <v>5</v>
      </c>
      <c r="E63" s="6" t="n">
        <v>1</v>
      </c>
      <c r="F63" s="6" t="n">
        <v>0</v>
      </c>
      <c r="G63" s="6" t="n">
        <v>0</v>
      </c>
      <c r="H63" s="7">
        <f>IFERROR(D63/C63,0)</f>
        <v/>
      </c>
      <c r="I63" s="7">
        <f>IFERROR(E63/D63,0)</f>
        <v/>
      </c>
      <c r="J63" s="7">
        <f>IFERROR(F63/E63,0)</f>
        <v/>
      </c>
      <c r="K63" s="7">
        <f>IFERROR(G63/C63,0)</f>
        <v/>
      </c>
    </row>
    <row r="64">
      <c r="A64" s="2" t="inlineStr">
        <is>
          <t>2026-01-11</t>
        </is>
      </c>
      <c r="B64" s="2" t="inlineStr">
        <is>
          <t>Organic SEO</t>
        </is>
      </c>
      <c r="C64" s="3" t="n">
        <v>242</v>
      </c>
      <c r="D64" s="3" t="n">
        <v>19</v>
      </c>
      <c r="E64" s="3" t="n">
        <v>4</v>
      </c>
      <c r="F64" s="3" t="n">
        <v>1</v>
      </c>
      <c r="G64" s="3" t="n">
        <v>1</v>
      </c>
      <c r="H64" s="4">
        <f>IFERROR(D64/C64,0)</f>
        <v/>
      </c>
      <c r="I64" s="4">
        <f>IFERROR(E64/D64,0)</f>
        <v/>
      </c>
      <c r="J64" s="4">
        <f>IFERROR(F64/E64,0)</f>
        <v/>
      </c>
      <c r="K64" s="4">
        <f>IFERROR(G64/C64,0)</f>
        <v/>
      </c>
    </row>
    <row r="65">
      <c r="A65" s="5" t="inlineStr">
        <is>
          <t>2026-01-11</t>
        </is>
      </c>
      <c r="B65" s="5" t="inlineStr">
        <is>
          <t>Email</t>
        </is>
      </c>
      <c r="C65" s="6" t="n">
        <v>75</v>
      </c>
      <c r="D65" s="6" t="n">
        <v>7</v>
      </c>
      <c r="E65" s="6" t="n">
        <v>1</v>
      </c>
      <c r="F65" s="6" t="n">
        <v>0</v>
      </c>
      <c r="G65" s="6" t="n">
        <v>0</v>
      </c>
      <c r="H65" s="7">
        <f>IFERROR(D65/C65,0)</f>
        <v/>
      </c>
      <c r="I65" s="7">
        <f>IFERROR(E65/D65,0)</f>
        <v/>
      </c>
      <c r="J65" s="7">
        <f>IFERROR(F65/E65,0)</f>
        <v/>
      </c>
      <c r="K65" s="7">
        <f>IFERROR(G65/C65,0)</f>
        <v/>
      </c>
    </row>
    <row r="66">
      <c r="A66" s="2" t="inlineStr">
        <is>
          <t>2026-01-11</t>
        </is>
      </c>
      <c r="B66" s="2" t="inlineStr">
        <is>
          <t>Referral</t>
        </is>
      </c>
      <c r="C66" s="3" t="n">
        <v>10</v>
      </c>
      <c r="D66" s="3" t="n">
        <v>1</v>
      </c>
      <c r="E66" s="3" t="n">
        <v>0</v>
      </c>
      <c r="F66" s="3" t="n">
        <v>0</v>
      </c>
      <c r="G66" s="3" t="n">
        <v>0</v>
      </c>
      <c r="H66" s="4">
        <f>IFERROR(D66/C66,0)</f>
        <v/>
      </c>
      <c r="I66" s="4">
        <f>IFERROR(E66/D66,0)</f>
        <v/>
      </c>
      <c r="J66" s="4">
        <f>IFERROR(F66/E66,0)</f>
        <v/>
      </c>
      <c r="K66" s="4">
        <f>IFERROR(G66/C66,0)</f>
        <v/>
      </c>
    </row>
    <row r="67">
      <c r="A67" s="5" t="inlineStr">
        <is>
          <t>2026-01-11</t>
        </is>
      </c>
      <c r="B67" s="5" t="inlineStr">
        <is>
          <t>Direct</t>
        </is>
      </c>
      <c r="C67" s="6" t="n">
        <v>19</v>
      </c>
      <c r="D67" s="6" t="n">
        <v>1</v>
      </c>
      <c r="E67" s="6" t="n">
        <v>0</v>
      </c>
      <c r="F67" s="6" t="n">
        <v>0</v>
      </c>
      <c r="G67" s="6" t="n">
        <v>0</v>
      </c>
      <c r="H67" s="7">
        <f>IFERROR(D67/C67,0)</f>
        <v/>
      </c>
      <c r="I67" s="7">
        <f>IFERROR(E67/D67,0)</f>
        <v/>
      </c>
      <c r="J67" s="7">
        <f>IFERROR(F67/E67,0)</f>
        <v/>
      </c>
      <c r="K67" s="7">
        <f>IFERROR(G67/C67,0)</f>
        <v/>
      </c>
    </row>
    <row r="68">
      <c r="A68" s="2" t="inlineStr">
        <is>
          <t>2026-01-12</t>
        </is>
      </c>
      <c r="B68" s="2" t="inlineStr">
        <is>
          <t>Google Ads</t>
        </is>
      </c>
      <c r="C68" s="3" t="n">
        <v>187</v>
      </c>
      <c r="D68" s="3" t="n">
        <v>15</v>
      </c>
      <c r="E68" s="3" t="n">
        <v>3</v>
      </c>
      <c r="F68" s="3" t="n">
        <v>1</v>
      </c>
      <c r="G68" s="3" t="n">
        <v>0</v>
      </c>
      <c r="H68" s="4">
        <f>IFERROR(D68/C68,0)</f>
        <v/>
      </c>
      <c r="I68" s="4">
        <f>IFERROR(E68/D68,0)</f>
        <v/>
      </c>
      <c r="J68" s="4">
        <f>IFERROR(F68/E68,0)</f>
        <v/>
      </c>
      <c r="K68" s="4">
        <f>IFERROR(G68/C68,0)</f>
        <v/>
      </c>
    </row>
    <row r="69">
      <c r="A69" s="5" t="inlineStr">
        <is>
          <t>2026-01-12</t>
        </is>
      </c>
      <c r="B69" s="5" t="inlineStr">
        <is>
          <t>Facebook Ads</t>
        </is>
      </c>
      <c r="C69" s="6" t="n">
        <v>105</v>
      </c>
      <c r="D69" s="6" t="n">
        <v>4</v>
      </c>
      <c r="E69" s="6" t="n">
        <v>0</v>
      </c>
      <c r="F69" s="6" t="n">
        <v>0</v>
      </c>
      <c r="G69" s="6" t="n">
        <v>0</v>
      </c>
      <c r="H69" s="7">
        <f>IFERROR(D69/C69,0)</f>
        <v/>
      </c>
      <c r="I69" s="7">
        <f>IFERROR(E69/D69,0)</f>
        <v/>
      </c>
      <c r="J69" s="7">
        <f>IFERROR(F69/E69,0)</f>
        <v/>
      </c>
      <c r="K69" s="7">
        <f>IFERROR(G69/C69,0)</f>
        <v/>
      </c>
    </row>
    <row r="70">
      <c r="A70" s="2" t="inlineStr">
        <is>
          <t>2026-01-12</t>
        </is>
      </c>
      <c r="B70" s="2" t="inlineStr">
        <is>
          <t>Organic SEO</t>
        </is>
      </c>
      <c r="C70" s="3" t="n">
        <v>279</v>
      </c>
      <c r="D70" s="3" t="n">
        <v>25</v>
      </c>
      <c r="E70" s="3" t="n">
        <v>7</v>
      </c>
      <c r="F70" s="3" t="n">
        <v>2</v>
      </c>
      <c r="G70" s="3" t="n">
        <v>2</v>
      </c>
      <c r="H70" s="4">
        <f>IFERROR(D70/C70,0)</f>
        <v/>
      </c>
      <c r="I70" s="4">
        <f>IFERROR(E70/D70,0)</f>
        <v/>
      </c>
      <c r="J70" s="4">
        <f>IFERROR(F70/E70,0)</f>
        <v/>
      </c>
      <c r="K70" s="4">
        <f>IFERROR(G70/C70,0)</f>
        <v/>
      </c>
    </row>
    <row r="71">
      <c r="A71" s="5" t="inlineStr">
        <is>
          <t>2026-01-12</t>
        </is>
      </c>
      <c r="B71" s="5" t="inlineStr">
        <is>
          <t>Email</t>
        </is>
      </c>
      <c r="C71" s="6" t="n">
        <v>70</v>
      </c>
      <c r="D71" s="6" t="n">
        <v>10</v>
      </c>
      <c r="E71" s="6" t="n">
        <v>2</v>
      </c>
      <c r="F71" s="6" t="n">
        <v>0</v>
      </c>
      <c r="G71" s="6" t="n">
        <v>1</v>
      </c>
      <c r="H71" s="7">
        <f>IFERROR(D71/C71,0)</f>
        <v/>
      </c>
      <c r="I71" s="7">
        <f>IFERROR(E71/D71,0)</f>
        <v/>
      </c>
      <c r="J71" s="7">
        <f>IFERROR(F71/E71,0)</f>
        <v/>
      </c>
      <c r="K71" s="7">
        <f>IFERROR(G71/C71,0)</f>
        <v/>
      </c>
    </row>
    <row r="72">
      <c r="A72" s="2" t="inlineStr">
        <is>
          <t>2026-01-12</t>
        </is>
      </c>
      <c r="B72" s="2" t="inlineStr">
        <is>
          <t>Referral</t>
        </is>
      </c>
      <c r="C72" s="3" t="n">
        <v>10</v>
      </c>
      <c r="D72" s="3" t="n">
        <v>1</v>
      </c>
      <c r="E72" s="3" t="n">
        <v>0</v>
      </c>
      <c r="F72" s="3" t="n">
        <v>0</v>
      </c>
      <c r="G72" s="3" t="n">
        <v>0</v>
      </c>
      <c r="H72" s="4">
        <f>IFERROR(D72/C72,0)</f>
        <v/>
      </c>
      <c r="I72" s="4">
        <f>IFERROR(E72/D72,0)</f>
        <v/>
      </c>
      <c r="J72" s="4">
        <f>IFERROR(F72/E72,0)</f>
        <v/>
      </c>
      <c r="K72" s="4">
        <f>IFERROR(G72/C72,0)</f>
        <v/>
      </c>
    </row>
    <row r="73">
      <c r="A73" s="5" t="inlineStr">
        <is>
          <t>2026-01-12</t>
        </is>
      </c>
      <c r="B73" s="5" t="inlineStr">
        <is>
          <t>Direct</t>
        </is>
      </c>
      <c r="C73" s="6" t="n">
        <v>95</v>
      </c>
      <c r="D73" s="6" t="n">
        <v>8</v>
      </c>
      <c r="E73" s="6" t="n">
        <v>1</v>
      </c>
      <c r="F73" s="6" t="n">
        <v>0</v>
      </c>
      <c r="G73" s="6" t="n">
        <v>0</v>
      </c>
      <c r="H73" s="7">
        <f>IFERROR(D73/C73,0)</f>
        <v/>
      </c>
      <c r="I73" s="7">
        <f>IFERROR(E73/D73,0)</f>
        <v/>
      </c>
      <c r="J73" s="7">
        <f>IFERROR(F73/E73,0)</f>
        <v/>
      </c>
      <c r="K73" s="7">
        <f>IFERROR(G73/C73,0)</f>
        <v/>
      </c>
    </row>
    <row r="74">
      <c r="A74" s="2" t="inlineStr">
        <is>
          <t>2026-01-13</t>
        </is>
      </c>
      <c r="B74" s="2" t="inlineStr">
        <is>
          <t>Google Ads</t>
        </is>
      </c>
      <c r="C74" s="3" t="n">
        <v>153</v>
      </c>
      <c r="D74" s="3" t="n">
        <v>11</v>
      </c>
      <c r="E74" s="3" t="n">
        <v>2</v>
      </c>
      <c r="F74" s="3" t="n">
        <v>0</v>
      </c>
      <c r="G74" s="3" t="n">
        <v>0</v>
      </c>
      <c r="H74" s="4">
        <f>IFERROR(D74/C74,0)</f>
        <v/>
      </c>
      <c r="I74" s="4">
        <f>IFERROR(E74/D74,0)</f>
        <v/>
      </c>
      <c r="J74" s="4">
        <f>IFERROR(F74/E74,0)</f>
        <v/>
      </c>
      <c r="K74" s="4">
        <f>IFERROR(G74/C74,0)</f>
        <v/>
      </c>
    </row>
    <row r="75">
      <c r="A75" s="5" t="inlineStr">
        <is>
          <t>2026-01-13</t>
        </is>
      </c>
      <c r="B75" s="5" t="inlineStr">
        <is>
          <t>Facebook Ads</t>
        </is>
      </c>
      <c r="C75" s="6" t="n">
        <v>158</v>
      </c>
      <c r="D75" s="6" t="n">
        <v>4</v>
      </c>
      <c r="E75" s="6" t="n">
        <v>1</v>
      </c>
      <c r="F75" s="6" t="n">
        <v>0</v>
      </c>
      <c r="G75" s="6" t="n">
        <v>0</v>
      </c>
      <c r="H75" s="7">
        <f>IFERROR(D75/C75,0)</f>
        <v/>
      </c>
      <c r="I75" s="7">
        <f>IFERROR(E75/D75,0)</f>
        <v/>
      </c>
      <c r="J75" s="7">
        <f>IFERROR(F75/E75,0)</f>
        <v/>
      </c>
      <c r="K75" s="7">
        <f>IFERROR(G75/C75,0)</f>
        <v/>
      </c>
    </row>
    <row r="76">
      <c r="A76" s="2" t="inlineStr">
        <is>
          <t>2026-01-13</t>
        </is>
      </c>
      <c r="B76" s="2" t="inlineStr">
        <is>
          <t>Organic SEO</t>
        </is>
      </c>
      <c r="C76" s="3" t="n">
        <v>264</v>
      </c>
      <c r="D76" s="3" t="n">
        <v>20</v>
      </c>
      <c r="E76" s="3" t="n">
        <v>5</v>
      </c>
      <c r="F76" s="3" t="n">
        <v>2</v>
      </c>
      <c r="G76" s="3" t="n">
        <v>1</v>
      </c>
      <c r="H76" s="4">
        <f>IFERROR(D76/C76,0)</f>
        <v/>
      </c>
      <c r="I76" s="4">
        <f>IFERROR(E76/D76,0)</f>
        <v/>
      </c>
      <c r="J76" s="4">
        <f>IFERROR(F76/E76,0)</f>
        <v/>
      </c>
      <c r="K76" s="4">
        <f>IFERROR(G76/C76,0)</f>
        <v/>
      </c>
    </row>
    <row r="77">
      <c r="A77" s="5" t="inlineStr">
        <is>
          <t>2026-01-13</t>
        </is>
      </c>
      <c r="B77" s="5" t="inlineStr">
        <is>
          <t>Email</t>
        </is>
      </c>
      <c r="C77" s="6" t="n">
        <v>75</v>
      </c>
      <c r="D77" s="6" t="n">
        <v>8</v>
      </c>
      <c r="E77" s="6" t="n">
        <v>2</v>
      </c>
      <c r="F77" s="6" t="n">
        <v>0</v>
      </c>
      <c r="G77" s="6" t="n">
        <v>0</v>
      </c>
      <c r="H77" s="7">
        <f>IFERROR(D77/C77,0)</f>
        <v/>
      </c>
      <c r="I77" s="7">
        <f>IFERROR(E77/D77,0)</f>
        <v/>
      </c>
      <c r="J77" s="7">
        <f>IFERROR(F77/E77,0)</f>
        <v/>
      </c>
      <c r="K77" s="7">
        <f>IFERROR(G77/C77,0)</f>
        <v/>
      </c>
    </row>
    <row r="78">
      <c r="A78" s="2" t="inlineStr">
        <is>
          <t>2026-01-13</t>
        </is>
      </c>
      <c r="B78" s="2" t="inlineStr">
        <is>
          <t>Referral</t>
        </is>
      </c>
      <c r="C78" s="3" t="n">
        <v>32</v>
      </c>
      <c r="D78" s="3" t="n">
        <v>5</v>
      </c>
      <c r="E78" s="3" t="n">
        <v>1</v>
      </c>
      <c r="F78" s="3" t="n">
        <v>0</v>
      </c>
      <c r="G78" s="3" t="n">
        <v>0</v>
      </c>
      <c r="H78" s="4">
        <f>IFERROR(D78/C78,0)</f>
        <v/>
      </c>
      <c r="I78" s="4">
        <f>IFERROR(E78/D78,0)</f>
        <v/>
      </c>
      <c r="J78" s="4">
        <f>IFERROR(F78/E78,0)</f>
        <v/>
      </c>
      <c r="K78" s="4">
        <f>IFERROR(G78/C78,0)</f>
        <v/>
      </c>
    </row>
    <row r="79">
      <c r="A79" s="5" t="inlineStr">
        <is>
          <t>2026-01-13</t>
        </is>
      </c>
      <c r="B79" s="5" t="inlineStr">
        <is>
          <t>Direct</t>
        </is>
      </c>
      <c r="C79" s="6" t="n">
        <v>43</v>
      </c>
      <c r="D79" s="6" t="n">
        <v>2</v>
      </c>
      <c r="E79" s="6" t="n">
        <v>0</v>
      </c>
      <c r="F79" s="6" t="n">
        <v>0</v>
      </c>
      <c r="G79" s="6" t="n">
        <v>0</v>
      </c>
      <c r="H79" s="7">
        <f>IFERROR(D79/C79,0)</f>
        <v/>
      </c>
      <c r="I79" s="7">
        <f>IFERROR(E79/D79,0)</f>
        <v/>
      </c>
      <c r="J79" s="7">
        <f>IFERROR(F79/E79,0)</f>
        <v/>
      </c>
      <c r="K79" s="7">
        <f>IFERROR(G79/C79,0)</f>
        <v/>
      </c>
    </row>
    <row r="80">
      <c r="A80" s="2" t="inlineStr">
        <is>
          <t>2026-01-14</t>
        </is>
      </c>
      <c r="B80" s="2" t="inlineStr">
        <is>
          <t>Google Ads</t>
        </is>
      </c>
      <c r="C80" s="3" t="n">
        <v>195</v>
      </c>
      <c r="D80" s="3" t="n">
        <v>16</v>
      </c>
      <c r="E80" s="3" t="n">
        <v>4</v>
      </c>
      <c r="F80" s="3" t="n">
        <v>1</v>
      </c>
      <c r="G80" s="3" t="n">
        <v>0</v>
      </c>
      <c r="H80" s="4">
        <f>IFERROR(D80/C80,0)</f>
        <v/>
      </c>
      <c r="I80" s="4">
        <f>IFERROR(E80/D80,0)</f>
        <v/>
      </c>
      <c r="J80" s="4">
        <f>IFERROR(F80/E80,0)</f>
        <v/>
      </c>
      <c r="K80" s="4">
        <f>IFERROR(G80/C80,0)</f>
        <v/>
      </c>
    </row>
    <row r="81">
      <c r="A81" s="5" t="inlineStr">
        <is>
          <t>2026-01-14</t>
        </is>
      </c>
      <c r="B81" s="5" t="inlineStr">
        <is>
          <t>Facebook Ads</t>
        </is>
      </c>
      <c r="C81" s="6" t="n">
        <v>132</v>
      </c>
      <c r="D81" s="6" t="n">
        <v>2</v>
      </c>
      <c r="E81" s="6" t="n">
        <v>0</v>
      </c>
      <c r="F81" s="6" t="n">
        <v>0</v>
      </c>
      <c r="G81" s="6" t="n">
        <v>0</v>
      </c>
      <c r="H81" s="7">
        <f>IFERROR(D81/C81,0)</f>
        <v/>
      </c>
      <c r="I81" s="7">
        <f>IFERROR(E81/D81,0)</f>
        <v/>
      </c>
      <c r="J81" s="7">
        <f>IFERROR(F81/E81,0)</f>
        <v/>
      </c>
      <c r="K81" s="7">
        <f>IFERROR(G81/C81,0)</f>
        <v/>
      </c>
    </row>
    <row r="82">
      <c r="A82" s="2" t="inlineStr">
        <is>
          <t>2026-01-14</t>
        </is>
      </c>
      <c r="B82" s="2" t="inlineStr">
        <is>
          <t>Organic SEO</t>
        </is>
      </c>
      <c r="C82" s="3" t="n">
        <v>267</v>
      </c>
      <c r="D82" s="3" t="n">
        <v>26</v>
      </c>
      <c r="E82" s="3" t="n">
        <v>7</v>
      </c>
      <c r="F82" s="3" t="n">
        <v>2</v>
      </c>
      <c r="G82" s="3" t="n">
        <v>2</v>
      </c>
      <c r="H82" s="4">
        <f>IFERROR(D82/C82,0)</f>
        <v/>
      </c>
      <c r="I82" s="4">
        <f>IFERROR(E82/D82,0)</f>
        <v/>
      </c>
      <c r="J82" s="4">
        <f>IFERROR(F82/E82,0)</f>
        <v/>
      </c>
      <c r="K82" s="4">
        <f>IFERROR(G82/C82,0)</f>
        <v/>
      </c>
    </row>
    <row r="83">
      <c r="A83" s="5" t="inlineStr">
        <is>
          <t>2026-01-14</t>
        </is>
      </c>
      <c r="B83" s="5" t="inlineStr">
        <is>
          <t>Email</t>
        </is>
      </c>
      <c r="C83" s="6" t="n">
        <v>48</v>
      </c>
      <c r="D83" s="6" t="n">
        <v>7</v>
      </c>
      <c r="E83" s="6" t="n">
        <v>1</v>
      </c>
      <c r="F83" s="6" t="n">
        <v>0</v>
      </c>
      <c r="G83" s="6" t="n">
        <v>0</v>
      </c>
      <c r="H83" s="7">
        <f>IFERROR(D83/C83,0)</f>
        <v/>
      </c>
      <c r="I83" s="7">
        <f>IFERROR(E83/D83,0)</f>
        <v/>
      </c>
      <c r="J83" s="7">
        <f>IFERROR(F83/E83,0)</f>
        <v/>
      </c>
      <c r="K83" s="7">
        <f>IFERROR(G83/C83,0)</f>
        <v/>
      </c>
    </row>
    <row r="84">
      <c r="A84" s="2" t="inlineStr">
        <is>
          <t>2026-01-14</t>
        </is>
      </c>
      <c r="B84" s="2" t="inlineStr">
        <is>
          <t>Referral</t>
        </is>
      </c>
      <c r="C84" s="3" t="n">
        <v>10</v>
      </c>
      <c r="D84" s="3" t="n">
        <v>1</v>
      </c>
      <c r="E84" s="3" t="n">
        <v>0</v>
      </c>
      <c r="F84" s="3" t="n">
        <v>0</v>
      </c>
      <c r="G84" s="3" t="n">
        <v>0</v>
      </c>
      <c r="H84" s="4">
        <f>IFERROR(D84/C84,0)</f>
        <v/>
      </c>
      <c r="I84" s="4">
        <f>IFERROR(E84/D84,0)</f>
        <v/>
      </c>
      <c r="J84" s="4">
        <f>IFERROR(F84/E84,0)</f>
        <v/>
      </c>
      <c r="K84" s="4">
        <f>IFERROR(G84/C84,0)</f>
        <v/>
      </c>
    </row>
    <row r="85">
      <c r="A85" s="5" t="inlineStr">
        <is>
          <t>2026-01-14</t>
        </is>
      </c>
      <c r="B85" s="5" t="inlineStr">
        <is>
          <t>Direct</t>
        </is>
      </c>
      <c r="C85" s="6" t="n">
        <v>61</v>
      </c>
      <c r="D85" s="6" t="n">
        <v>4</v>
      </c>
      <c r="E85" s="6" t="n">
        <v>0</v>
      </c>
      <c r="F85" s="6" t="n">
        <v>0</v>
      </c>
      <c r="G85" s="6" t="n">
        <v>0</v>
      </c>
      <c r="H85" s="7">
        <f>IFERROR(D85/C85,0)</f>
        <v/>
      </c>
      <c r="I85" s="7">
        <f>IFERROR(E85/D85,0)</f>
        <v/>
      </c>
      <c r="J85" s="7">
        <f>IFERROR(F85/E85,0)</f>
        <v/>
      </c>
      <c r="K85" s="7">
        <f>IFERROR(G85/C85,0)</f>
        <v/>
      </c>
    </row>
    <row r="86">
      <c r="A86" s="2" t="inlineStr">
        <is>
          <t>2026-01-15</t>
        </is>
      </c>
      <c r="B86" s="2" t="inlineStr">
        <is>
          <t>Google Ads</t>
        </is>
      </c>
      <c r="C86" s="3" t="n">
        <v>188</v>
      </c>
      <c r="D86" s="3" t="n">
        <v>16</v>
      </c>
      <c r="E86" s="3" t="n">
        <v>4</v>
      </c>
      <c r="F86" s="3" t="n">
        <v>1</v>
      </c>
      <c r="G86" s="3" t="n">
        <v>1</v>
      </c>
      <c r="H86" s="4">
        <f>IFERROR(D86/C86,0)</f>
        <v/>
      </c>
      <c r="I86" s="4">
        <f>IFERROR(E86/D86,0)</f>
        <v/>
      </c>
      <c r="J86" s="4">
        <f>IFERROR(F86/E86,0)</f>
        <v/>
      </c>
      <c r="K86" s="4">
        <f>IFERROR(G86/C86,0)</f>
        <v/>
      </c>
    </row>
    <row r="87">
      <c r="A87" s="5" t="inlineStr">
        <is>
          <t>2026-01-15</t>
        </is>
      </c>
      <c r="B87" s="5" t="inlineStr">
        <is>
          <t>Facebook Ads</t>
        </is>
      </c>
      <c r="C87" s="6" t="n">
        <v>170</v>
      </c>
      <c r="D87" s="6" t="n">
        <v>7</v>
      </c>
      <c r="E87" s="6" t="n">
        <v>1</v>
      </c>
      <c r="F87" s="6" t="n">
        <v>0</v>
      </c>
      <c r="G87" s="6" t="n">
        <v>0</v>
      </c>
      <c r="H87" s="7">
        <f>IFERROR(D87/C87,0)</f>
        <v/>
      </c>
      <c r="I87" s="7">
        <f>IFERROR(E87/D87,0)</f>
        <v/>
      </c>
      <c r="J87" s="7">
        <f>IFERROR(F87/E87,0)</f>
        <v/>
      </c>
      <c r="K87" s="7">
        <f>IFERROR(G87/C87,0)</f>
        <v/>
      </c>
    </row>
    <row r="88">
      <c r="A88" s="2" t="inlineStr">
        <is>
          <t>2026-01-15</t>
        </is>
      </c>
      <c r="B88" s="2" t="inlineStr">
        <is>
          <t>Organic SEO</t>
        </is>
      </c>
      <c r="C88" s="3" t="n">
        <v>257</v>
      </c>
      <c r="D88" s="3" t="n">
        <v>24</v>
      </c>
      <c r="E88" s="3" t="n">
        <v>6</v>
      </c>
      <c r="F88" s="3" t="n">
        <v>2</v>
      </c>
      <c r="G88" s="3" t="n">
        <v>1</v>
      </c>
      <c r="H88" s="4">
        <f>IFERROR(D88/C88,0)</f>
        <v/>
      </c>
      <c r="I88" s="4">
        <f>IFERROR(E88/D88,0)</f>
        <v/>
      </c>
      <c r="J88" s="4">
        <f>IFERROR(F88/E88,0)</f>
        <v/>
      </c>
      <c r="K88" s="4">
        <f>IFERROR(G88/C88,0)</f>
        <v/>
      </c>
    </row>
    <row r="89">
      <c r="A89" s="5" t="inlineStr">
        <is>
          <t>2026-01-15</t>
        </is>
      </c>
      <c r="B89" s="5" t="inlineStr">
        <is>
          <t>Email</t>
        </is>
      </c>
      <c r="C89" s="6" t="n">
        <v>100</v>
      </c>
      <c r="D89" s="6" t="n">
        <v>13</v>
      </c>
      <c r="E89" s="6" t="n">
        <v>3</v>
      </c>
      <c r="F89" s="6" t="n">
        <v>1</v>
      </c>
      <c r="G89" s="6" t="n">
        <v>1</v>
      </c>
      <c r="H89" s="7">
        <f>IFERROR(D89/C89,0)</f>
        <v/>
      </c>
      <c r="I89" s="7">
        <f>IFERROR(E89/D89,0)</f>
        <v/>
      </c>
      <c r="J89" s="7">
        <f>IFERROR(F89/E89,0)</f>
        <v/>
      </c>
      <c r="K89" s="7">
        <f>IFERROR(G89/C89,0)</f>
        <v/>
      </c>
    </row>
    <row r="90">
      <c r="A90" s="2" t="inlineStr">
        <is>
          <t>2026-01-15</t>
        </is>
      </c>
      <c r="B90" s="2" t="inlineStr">
        <is>
          <t>Referral</t>
        </is>
      </c>
      <c r="C90" s="3" t="n">
        <v>26</v>
      </c>
      <c r="D90" s="3" t="n">
        <v>3</v>
      </c>
      <c r="E90" s="3" t="n">
        <v>0</v>
      </c>
      <c r="F90" s="3" t="n">
        <v>0</v>
      </c>
      <c r="G90" s="3" t="n">
        <v>0</v>
      </c>
      <c r="H90" s="4">
        <f>IFERROR(D90/C90,0)</f>
        <v/>
      </c>
      <c r="I90" s="4">
        <f>IFERROR(E90/D90,0)</f>
        <v/>
      </c>
      <c r="J90" s="4">
        <f>IFERROR(F90/E90,0)</f>
        <v/>
      </c>
      <c r="K90" s="4">
        <f>IFERROR(G90/C90,0)</f>
        <v/>
      </c>
    </row>
    <row r="91">
      <c r="A91" s="5" t="inlineStr">
        <is>
          <t>2026-01-15</t>
        </is>
      </c>
      <c r="B91" s="5" t="inlineStr">
        <is>
          <t>Direct</t>
        </is>
      </c>
      <c r="C91" s="6" t="n">
        <v>106</v>
      </c>
      <c r="D91" s="6" t="n">
        <v>6</v>
      </c>
      <c r="E91" s="6" t="n">
        <v>1</v>
      </c>
      <c r="F91" s="6" t="n">
        <v>0</v>
      </c>
      <c r="G91" s="6" t="n">
        <v>0</v>
      </c>
      <c r="H91" s="7">
        <f>IFERROR(D91/C91,0)</f>
        <v/>
      </c>
      <c r="I91" s="7">
        <f>IFERROR(E91/D91,0)</f>
        <v/>
      </c>
      <c r="J91" s="7">
        <f>IFERROR(F91/E91,0)</f>
        <v/>
      </c>
      <c r="K91" s="7">
        <f>IFERROR(G91/C91,0)</f>
        <v/>
      </c>
    </row>
    <row r="92">
      <c r="A92" s="2" t="inlineStr">
        <is>
          <t>2026-01-16</t>
        </is>
      </c>
      <c r="B92" s="2" t="inlineStr">
        <is>
          <t>Google Ads</t>
        </is>
      </c>
      <c r="C92" s="3" t="n">
        <v>145</v>
      </c>
      <c r="D92" s="3" t="n">
        <v>10</v>
      </c>
      <c r="E92" s="3" t="n">
        <v>2</v>
      </c>
      <c r="F92" s="3" t="n">
        <v>0</v>
      </c>
      <c r="G92" s="3" t="n">
        <v>0</v>
      </c>
      <c r="H92" s="4">
        <f>IFERROR(D92/C92,0)</f>
        <v/>
      </c>
      <c r="I92" s="4">
        <f>IFERROR(E92/D92,0)</f>
        <v/>
      </c>
      <c r="J92" s="4">
        <f>IFERROR(F92/E92,0)</f>
        <v/>
      </c>
      <c r="K92" s="4">
        <f>IFERROR(G92/C92,0)</f>
        <v/>
      </c>
    </row>
    <row r="93">
      <c r="A93" s="5" t="inlineStr">
        <is>
          <t>2026-01-16</t>
        </is>
      </c>
      <c r="B93" s="5" t="inlineStr">
        <is>
          <t>Facebook Ads</t>
        </is>
      </c>
      <c r="C93" s="6" t="n">
        <v>153</v>
      </c>
      <c r="D93" s="6" t="n">
        <v>7</v>
      </c>
      <c r="E93" s="6" t="n">
        <v>1</v>
      </c>
      <c r="F93" s="6" t="n">
        <v>0</v>
      </c>
      <c r="G93" s="6" t="n">
        <v>0</v>
      </c>
      <c r="H93" s="7">
        <f>IFERROR(D93/C93,0)</f>
        <v/>
      </c>
      <c r="I93" s="7">
        <f>IFERROR(E93/D93,0)</f>
        <v/>
      </c>
      <c r="J93" s="7">
        <f>IFERROR(F93/E93,0)</f>
        <v/>
      </c>
      <c r="K93" s="7">
        <f>IFERROR(G93/C93,0)</f>
        <v/>
      </c>
    </row>
    <row r="94">
      <c r="A94" s="2" t="inlineStr">
        <is>
          <t>2026-01-16</t>
        </is>
      </c>
      <c r="B94" s="2" t="inlineStr">
        <is>
          <t>Organic SEO</t>
        </is>
      </c>
      <c r="C94" s="3" t="n">
        <v>231</v>
      </c>
      <c r="D94" s="3" t="n">
        <v>18</v>
      </c>
      <c r="E94" s="3" t="n">
        <v>3</v>
      </c>
      <c r="F94" s="3" t="n">
        <v>1</v>
      </c>
      <c r="G94" s="3" t="n">
        <v>1</v>
      </c>
      <c r="H94" s="4">
        <f>IFERROR(D94/C94,0)</f>
        <v/>
      </c>
      <c r="I94" s="4">
        <f>IFERROR(E94/D94,0)</f>
        <v/>
      </c>
      <c r="J94" s="4">
        <f>IFERROR(F94/E94,0)</f>
        <v/>
      </c>
      <c r="K94" s="4">
        <f>IFERROR(G94/C94,0)</f>
        <v/>
      </c>
    </row>
    <row r="95">
      <c r="A95" s="5" t="inlineStr">
        <is>
          <t>2026-01-16</t>
        </is>
      </c>
      <c r="B95" s="5" t="inlineStr">
        <is>
          <t>Email</t>
        </is>
      </c>
      <c r="C95" s="6" t="n">
        <v>138</v>
      </c>
      <c r="D95" s="6" t="n">
        <v>19</v>
      </c>
      <c r="E95" s="6" t="n">
        <v>4</v>
      </c>
      <c r="F95" s="6" t="n">
        <v>1</v>
      </c>
      <c r="G95" s="6" t="n">
        <v>2</v>
      </c>
      <c r="H95" s="7">
        <f>IFERROR(D95/C95,0)</f>
        <v/>
      </c>
      <c r="I95" s="7">
        <f>IFERROR(E95/D95,0)</f>
        <v/>
      </c>
      <c r="J95" s="7">
        <f>IFERROR(F95/E95,0)</f>
        <v/>
      </c>
      <c r="K95" s="7">
        <f>IFERROR(G95/C95,0)</f>
        <v/>
      </c>
    </row>
    <row r="96">
      <c r="A96" s="2" t="inlineStr">
        <is>
          <t>2026-01-16</t>
        </is>
      </c>
      <c r="B96" s="2" t="inlineStr">
        <is>
          <t>Referral</t>
        </is>
      </c>
      <c r="C96" s="3" t="n">
        <v>79</v>
      </c>
      <c r="D96" s="3" t="n">
        <v>11</v>
      </c>
      <c r="E96" s="3" t="n">
        <v>2</v>
      </c>
      <c r="F96" s="3" t="n">
        <v>0</v>
      </c>
      <c r="G96" s="3" t="n">
        <v>1</v>
      </c>
      <c r="H96" s="4">
        <f>IFERROR(D96/C96,0)</f>
        <v/>
      </c>
      <c r="I96" s="4">
        <f>IFERROR(E96/D96,0)</f>
        <v/>
      </c>
      <c r="J96" s="4">
        <f>IFERROR(F96/E96,0)</f>
        <v/>
      </c>
      <c r="K96" s="4">
        <f>IFERROR(G96/C96,0)</f>
        <v/>
      </c>
    </row>
    <row r="97">
      <c r="A97" s="5" t="inlineStr">
        <is>
          <t>2026-01-16</t>
        </is>
      </c>
      <c r="B97" s="5" t="inlineStr">
        <is>
          <t>Direct</t>
        </is>
      </c>
      <c r="C97" s="6" t="n">
        <v>68</v>
      </c>
      <c r="D97" s="6" t="n">
        <v>3</v>
      </c>
      <c r="E97" s="6" t="n">
        <v>0</v>
      </c>
      <c r="F97" s="6" t="n">
        <v>0</v>
      </c>
      <c r="G97" s="6" t="n">
        <v>0</v>
      </c>
      <c r="H97" s="7">
        <f>IFERROR(D97/C97,0)</f>
        <v/>
      </c>
      <c r="I97" s="7">
        <f>IFERROR(E97/D97,0)</f>
        <v/>
      </c>
      <c r="J97" s="7">
        <f>IFERROR(F97/E97,0)</f>
        <v/>
      </c>
      <c r="K97" s="7">
        <f>IFERROR(G97/C97,0)</f>
        <v/>
      </c>
    </row>
    <row r="98">
      <c r="A98" s="2" t="inlineStr">
        <is>
          <t>2026-01-17</t>
        </is>
      </c>
      <c r="B98" s="2" t="inlineStr">
        <is>
          <t>Google Ads</t>
        </is>
      </c>
      <c r="C98" s="3" t="n">
        <v>180</v>
      </c>
      <c r="D98" s="3" t="n">
        <v>17</v>
      </c>
      <c r="E98" s="3" t="n">
        <v>4</v>
      </c>
      <c r="F98" s="3" t="n">
        <v>1</v>
      </c>
      <c r="G98" s="3" t="n">
        <v>1</v>
      </c>
      <c r="H98" s="4">
        <f>IFERROR(D98/C98,0)</f>
        <v/>
      </c>
      <c r="I98" s="4">
        <f>IFERROR(E98/D98,0)</f>
        <v/>
      </c>
      <c r="J98" s="4">
        <f>IFERROR(F98/E98,0)</f>
        <v/>
      </c>
      <c r="K98" s="4">
        <f>IFERROR(G98/C98,0)</f>
        <v/>
      </c>
    </row>
    <row r="99">
      <c r="A99" s="5" t="inlineStr">
        <is>
          <t>2026-01-17</t>
        </is>
      </c>
      <c r="B99" s="5" t="inlineStr">
        <is>
          <t>Facebook Ads</t>
        </is>
      </c>
      <c r="C99" s="6" t="n">
        <v>164</v>
      </c>
      <c r="D99" s="6" t="n">
        <v>5</v>
      </c>
      <c r="E99" s="6" t="n">
        <v>1</v>
      </c>
      <c r="F99" s="6" t="n">
        <v>0</v>
      </c>
      <c r="G99" s="6" t="n">
        <v>0</v>
      </c>
      <c r="H99" s="7">
        <f>IFERROR(D99/C99,0)</f>
        <v/>
      </c>
      <c r="I99" s="7">
        <f>IFERROR(E99/D99,0)</f>
        <v/>
      </c>
      <c r="J99" s="7">
        <f>IFERROR(F99/E99,0)</f>
        <v/>
      </c>
      <c r="K99" s="7">
        <f>IFERROR(G99/C99,0)</f>
        <v/>
      </c>
    </row>
    <row r="100">
      <c r="A100" s="2" t="inlineStr">
        <is>
          <t>2026-01-17</t>
        </is>
      </c>
      <c r="B100" s="2" t="inlineStr">
        <is>
          <t>Organic SEO</t>
        </is>
      </c>
      <c r="C100" s="3" t="n">
        <v>240</v>
      </c>
      <c r="D100" s="3" t="n">
        <v>21</v>
      </c>
      <c r="E100" s="3" t="n">
        <v>6</v>
      </c>
      <c r="F100" s="3" t="n">
        <v>2</v>
      </c>
      <c r="G100" s="3" t="n">
        <v>1</v>
      </c>
      <c r="H100" s="4">
        <f>IFERROR(D100/C100,0)</f>
        <v/>
      </c>
      <c r="I100" s="4">
        <f>IFERROR(E100/D100,0)</f>
        <v/>
      </c>
      <c r="J100" s="4">
        <f>IFERROR(F100/E100,0)</f>
        <v/>
      </c>
      <c r="K100" s="4">
        <f>IFERROR(G100/C100,0)</f>
        <v/>
      </c>
    </row>
    <row r="101">
      <c r="A101" s="5" t="inlineStr">
        <is>
          <t>2026-01-17</t>
        </is>
      </c>
      <c r="B101" s="5" t="inlineStr">
        <is>
          <t>Email</t>
        </is>
      </c>
      <c r="C101" s="6" t="n">
        <v>139</v>
      </c>
      <c r="D101" s="6" t="n">
        <v>17</v>
      </c>
      <c r="E101" s="6" t="n">
        <v>4</v>
      </c>
      <c r="F101" s="6" t="n">
        <v>1</v>
      </c>
      <c r="G101" s="6" t="n">
        <v>1</v>
      </c>
      <c r="H101" s="7">
        <f>IFERROR(D101/C101,0)</f>
        <v/>
      </c>
      <c r="I101" s="7">
        <f>IFERROR(E101/D101,0)</f>
        <v/>
      </c>
      <c r="J101" s="7">
        <f>IFERROR(F101/E101,0)</f>
        <v/>
      </c>
      <c r="K101" s="7">
        <f>IFERROR(G101/C101,0)</f>
        <v/>
      </c>
    </row>
    <row r="102">
      <c r="A102" s="2" t="inlineStr">
        <is>
          <t>2026-01-17</t>
        </is>
      </c>
      <c r="B102" s="2" t="inlineStr">
        <is>
          <t>Referral</t>
        </is>
      </c>
      <c r="C102" s="3" t="n">
        <v>26</v>
      </c>
      <c r="D102" s="3" t="n">
        <v>3</v>
      </c>
      <c r="E102" s="3" t="n">
        <v>0</v>
      </c>
      <c r="F102" s="3" t="n">
        <v>0</v>
      </c>
      <c r="G102" s="3" t="n">
        <v>0</v>
      </c>
      <c r="H102" s="4">
        <f>IFERROR(D102/C102,0)</f>
        <v/>
      </c>
      <c r="I102" s="4">
        <f>IFERROR(E102/D102,0)</f>
        <v/>
      </c>
      <c r="J102" s="4">
        <f>IFERROR(F102/E102,0)</f>
        <v/>
      </c>
      <c r="K102" s="4">
        <f>IFERROR(G102/C102,0)</f>
        <v/>
      </c>
    </row>
    <row r="103">
      <c r="A103" s="5" t="inlineStr">
        <is>
          <t>2026-01-17</t>
        </is>
      </c>
      <c r="B103" s="5" t="inlineStr">
        <is>
          <t>Direct</t>
        </is>
      </c>
      <c r="C103" s="6" t="n">
        <v>29</v>
      </c>
      <c r="D103" s="6" t="n">
        <v>1</v>
      </c>
      <c r="E103" s="6" t="n">
        <v>0</v>
      </c>
      <c r="F103" s="6" t="n">
        <v>0</v>
      </c>
      <c r="G103" s="6" t="n">
        <v>0</v>
      </c>
      <c r="H103" s="7">
        <f>IFERROR(D103/C103,0)</f>
        <v/>
      </c>
      <c r="I103" s="7">
        <f>IFERROR(E103/D103,0)</f>
        <v/>
      </c>
      <c r="J103" s="7">
        <f>IFERROR(F103/E103,0)</f>
        <v/>
      </c>
      <c r="K103" s="7">
        <f>IFERROR(G103/C103,0)</f>
        <v/>
      </c>
    </row>
    <row r="104">
      <c r="A104" s="2" t="inlineStr">
        <is>
          <t>2026-01-18</t>
        </is>
      </c>
      <c r="B104" s="2" t="inlineStr">
        <is>
          <t>Google Ads</t>
        </is>
      </c>
      <c r="C104" s="3" t="n">
        <v>192</v>
      </c>
      <c r="D104" s="3" t="n">
        <v>14</v>
      </c>
      <c r="E104" s="3" t="n">
        <v>3</v>
      </c>
      <c r="F104" s="3" t="n">
        <v>1</v>
      </c>
      <c r="G104" s="3" t="n">
        <v>0</v>
      </c>
      <c r="H104" s="4">
        <f>IFERROR(D104/C104,0)</f>
        <v/>
      </c>
      <c r="I104" s="4">
        <f>IFERROR(E104/D104,0)</f>
        <v/>
      </c>
      <c r="J104" s="4">
        <f>IFERROR(F104/E104,0)</f>
        <v/>
      </c>
      <c r="K104" s="4">
        <f>IFERROR(G104/C104,0)</f>
        <v/>
      </c>
    </row>
    <row r="105">
      <c r="A105" s="5" t="inlineStr">
        <is>
          <t>2026-01-18</t>
        </is>
      </c>
      <c r="B105" s="5" t="inlineStr">
        <is>
          <t>Facebook Ads</t>
        </is>
      </c>
      <c r="C105" s="6" t="n">
        <v>149</v>
      </c>
      <c r="D105" s="6" t="n">
        <v>7</v>
      </c>
      <c r="E105" s="6" t="n">
        <v>1</v>
      </c>
      <c r="F105" s="6" t="n">
        <v>0</v>
      </c>
      <c r="G105" s="6" t="n">
        <v>0</v>
      </c>
      <c r="H105" s="7">
        <f>IFERROR(D105/C105,0)</f>
        <v/>
      </c>
      <c r="I105" s="7">
        <f>IFERROR(E105/D105,0)</f>
        <v/>
      </c>
      <c r="J105" s="7">
        <f>IFERROR(F105/E105,0)</f>
        <v/>
      </c>
      <c r="K105" s="7">
        <f>IFERROR(G105/C105,0)</f>
        <v/>
      </c>
    </row>
    <row r="106">
      <c r="A106" s="2" t="inlineStr">
        <is>
          <t>2026-01-18</t>
        </is>
      </c>
      <c r="B106" s="2" t="inlineStr">
        <is>
          <t>Organic SEO</t>
        </is>
      </c>
      <c r="C106" s="3" t="n">
        <v>277</v>
      </c>
      <c r="D106" s="3" t="n">
        <v>25</v>
      </c>
      <c r="E106" s="3" t="n">
        <v>7</v>
      </c>
      <c r="F106" s="3" t="n">
        <v>2</v>
      </c>
      <c r="G106" s="3" t="n">
        <v>1</v>
      </c>
      <c r="H106" s="4">
        <f>IFERROR(D106/C106,0)</f>
        <v/>
      </c>
      <c r="I106" s="4">
        <f>IFERROR(E106/D106,0)</f>
        <v/>
      </c>
      <c r="J106" s="4">
        <f>IFERROR(F106/E106,0)</f>
        <v/>
      </c>
      <c r="K106" s="4">
        <f>IFERROR(G106/C106,0)</f>
        <v/>
      </c>
    </row>
    <row r="107">
      <c r="A107" s="5" t="inlineStr">
        <is>
          <t>2026-01-18</t>
        </is>
      </c>
      <c r="B107" s="5" t="inlineStr">
        <is>
          <t>Email</t>
        </is>
      </c>
      <c r="C107" s="6" t="n">
        <v>89</v>
      </c>
      <c r="D107" s="6" t="n">
        <v>12</v>
      </c>
      <c r="E107" s="6" t="n">
        <v>3</v>
      </c>
      <c r="F107" s="6" t="n">
        <v>1</v>
      </c>
      <c r="G107" s="6" t="n">
        <v>1</v>
      </c>
      <c r="H107" s="7">
        <f>IFERROR(D107/C107,0)</f>
        <v/>
      </c>
      <c r="I107" s="7">
        <f>IFERROR(E107/D107,0)</f>
        <v/>
      </c>
      <c r="J107" s="7">
        <f>IFERROR(F107/E107,0)</f>
        <v/>
      </c>
      <c r="K107" s="7">
        <f>IFERROR(G107/C107,0)</f>
        <v/>
      </c>
    </row>
    <row r="108">
      <c r="A108" s="2" t="inlineStr">
        <is>
          <t>2026-01-18</t>
        </is>
      </c>
      <c r="B108" s="2" t="inlineStr">
        <is>
          <t>Referral</t>
        </is>
      </c>
      <c r="C108" s="3" t="n">
        <v>59</v>
      </c>
      <c r="D108" s="3" t="n">
        <v>9</v>
      </c>
      <c r="E108" s="3" t="n">
        <v>2</v>
      </c>
      <c r="F108" s="3" t="n">
        <v>0</v>
      </c>
      <c r="G108" s="3" t="n">
        <v>1</v>
      </c>
      <c r="H108" s="4">
        <f>IFERROR(D108/C108,0)</f>
        <v/>
      </c>
      <c r="I108" s="4">
        <f>IFERROR(E108/D108,0)</f>
        <v/>
      </c>
      <c r="J108" s="4">
        <f>IFERROR(F108/E108,0)</f>
        <v/>
      </c>
      <c r="K108" s="4">
        <f>IFERROR(G108/C108,0)</f>
        <v/>
      </c>
    </row>
    <row r="109">
      <c r="A109" s="5" t="inlineStr">
        <is>
          <t>2026-01-18</t>
        </is>
      </c>
      <c r="B109" s="5" t="inlineStr">
        <is>
          <t>Direct</t>
        </is>
      </c>
      <c r="C109" s="6" t="n">
        <v>72</v>
      </c>
      <c r="D109" s="6" t="n">
        <v>3</v>
      </c>
      <c r="E109" s="6" t="n">
        <v>0</v>
      </c>
      <c r="F109" s="6" t="n">
        <v>0</v>
      </c>
      <c r="G109" s="6" t="n">
        <v>0</v>
      </c>
      <c r="H109" s="7">
        <f>IFERROR(D109/C109,0)</f>
        <v/>
      </c>
      <c r="I109" s="7">
        <f>IFERROR(E109/D109,0)</f>
        <v/>
      </c>
      <c r="J109" s="7">
        <f>IFERROR(F109/E109,0)</f>
        <v/>
      </c>
      <c r="K109" s="7">
        <f>IFERROR(G109/C109,0)</f>
        <v/>
      </c>
    </row>
    <row r="110">
      <c r="A110" s="2" t="inlineStr">
        <is>
          <t>2026-01-19</t>
        </is>
      </c>
      <c r="B110" s="2" t="inlineStr">
        <is>
          <t>Google Ads</t>
        </is>
      </c>
      <c r="C110" s="3" t="n">
        <v>161</v>
      </c>
      <c r="D110" s="3" t="n">
        <v>15</v>
      </c>
      <c r="E110" s="3" t="n">
        <v>4</v>
      </c>
      <c r="F110" s="3" t="n">
        <v>1</v>
      </c>
      <c r="G110" s="3" t="n">
        <v>1</v>
      </c>
      <c r="H110" s="4">
        <f>IFERROR(D110/C110,0)</f>
        <v/>
      </c>
      <c r="I110" s="4">
        <f>IFERROR(E110/D110,0)</f>
        <v/>
      </c>
      <c r="J110" s="4">
        <f>IFERROR(F110/E110,0)</f>
        <v/>
      </c>
      <c r="K110" s="4">
        <f>IFERROR(G110/C110,0)</f>
        <v/>
      </c>
    </row>
    <row r="111">
      <c r="A111" s="5" t="inlineStr">
        <is>
          <t>2026-01-19</t>
        </is>
      </c>
      <c r="B111" s="5" t="inlineStr">
        <is>
          <t>Facebook Ads</t>
        </is>
      </c>
      <c r="C111" s="6" t="n">
        <v>150</v>
      </c>
      <c r="D111" s="6" t="n">
        <v>5</v>
      </c>
      <c r="E111" s="6" t="n">
        <v>1</v>
      </c>
      <c r="F111" s="6" t="n">
        <v>0</v>
      </c>
      <c r="G111" s="6" t="n">
        <v>0</v>
      </c>
      <c r="H111" s="7">
        <f>IFERROR(D111/C111,0)</f>
        <v/>
      </c>
      <c r="I111" s="7">
        <f>IFERROR(E111/D111,0)</f>
        <v/>
      </c>
      <c r="J111" s="7">
        <f>IFERROR(F111/E111,0)</f>
        <v/>
      </c>
      <c r="K111" s="7">
        <f>IFERROR(G111/C111,0)</f>
        <v/>
      </c>
    </row>
    <row r="112">
      <c r="A112" s="2" t="inlineStr">
        <is>
          <t>2026-01-19</t>
        </is>
      </c>
      <c r="B112" s="2" t="inlineStr">
        <is>
          <t>Organic SEO</t>
        </is>
      </c>
      <c r="C112" s="3" t="n">
        <v>239</v>
      </c>
      <c r="D112" s="3" t="n">
        <v>18</v>
      </c>
      <c r="E112" s="3" t="n">
        <v>4</v>
      </c>
      <c r="F112" s="3" t="n">
        <v>1</v>
      </c>
      <c r="G112" s="3" t="n">
        <v>1</v>
      </c>
      <c r="H112" s="4">
        <f>IFERROR(D112/C112,0)</f>
        <v/>
      </c>
      <c r="I112" s="4">
        <f>IFERROR(E112/D112,0)</f>
        <v/>
      </c>
      <c r="J112" s="4">
        <f>IFERROR(F112/E112,0)</f>
        <v/>
      </c>
      <c r="K112" s="4">
        <f>IFERROR(G112/C112,0)</f>
        <v/>
      </c>
    </row>
    <row r="113">
      <c r="A113" s="5" t="inlineStr">
        <is>
          <t>2026-01-19</t>
        </is>
      </c>
      <c r="B113" s="5" t="inlineStr">
        <is>
          <t>Email</t>
        </is>
      </c>
      <c r="C113" s="6" t="n">
        <v>83</v>
      </c>
      <c r="D113" s="6" t="n">
        <v>11</v>
      </c>
      <c r="E113" s="6" t="n">
        <v>3</v>
      </c>
      <c r="F113" s="6" t="n">
        <v>1</v>
      </c>
      <c r="G113" s="6" t="n">
        <v>1</v>
      </c>
      <c r="H113" s="7">
        <f>IFERROR(D113/C113,0)</f>
        <v/>
      </c>
      <c r="I113" s="7">
        <f>IFERROR(E113/D113,0)</f>
        <v/>
      </c>
      <c r="J113" s="7">
        <f>IFERROR(F113/E113,0)</f>
        <v/>
      </c>
      <c r="K113" s="7">
        <f>IFERROR(G113/C113,0)</f>
        <v/>
      </c>
    </row>
    <row r="114">
      <c r="A114" s="2" t="inlineStr">
        <is>
          <t>2026-01-19</t>
        </is>
      </c>
      <c r="B114" s="2" t="inlineStr">
        <is>
          <t>Referral</t>
        </is>
      </c>
      <c r="C114" s="3" t="n">
        <v>22</v>
      </c>
      <c r="D114" s="3" t="n">
        <v>3</v>
      </c>
      <c r="E114" s="3" t="n">
        <v>0</v>
      </c>
      <c r="F114" s="3" t="n">
        <v>0</v>
      </c>
      <c r="G114" s="3" t="n">
        <v>0</v>
      </c>
      <c r="H114" s="4">
        <f>IFERROR(D114/C114,0)</f>
        <v/>
      </c>
      <c r="I114" s="4">
        <f>IFERROR(E114/D114,0)</f>
        <v/>
      </c>
      <c r="J114" s="4">
        <f>IFERROR(F114/E114,0)</f>
        <v/>
      </c>
      <c r="K114" s="4">
        <f>IFERROR(G114/C114,0)</f>
        <v/>
      </c>
    </row>
    <row r="115">
      <c r="A115" s="5" t="inlineStr">
        <is>
          <t>2026-01-19</t>
        </is>
      </c>
      <c r="B115" s="5" t="inlineStr">
        <is>
          <t>Direct</t>
        </is>
      </c>
      <c r="C115" s="6" t="n">
        <v>54</v>
      </c>
      <c r="D115" s="6" t="n">
        <v>3</v>
      </c>
      <c r="E115" s="6" t="n">
        <v>0</v>
      </c>
      <c r="F115" s="6" t="n">
        <v>0</v>
      </c>
      <c r="G115" s="6" t="n">
        <v>0</v>
      </c>
      <c r="H115" s="7">
        <f>IFERROR(D115/C115,0)</f>
        <v/>
      </c>
      <c r="I115" s="7">
        <f>IFERROR(E115/D115,0)</f>
        <v/>
      </c>
      <c r="J115" s="7">
        <f>IFERROR(F115/E115,0)</f>
        <v/>
      </c>
      <c r="K115" s="7">
        <f>IFERROR(G115/C115,0)</f>
        <v/>
      </c>
    </row>
    <row r="116">
      <c r="A116" s="2" t="inlineStr">
        <is>
          <t>2026-01-20</t>
        </is>
      </c>
      <c r="B116" s="2" t="inlineStr">
        <is>
          <t>Google Ads</t>
        </is>
      </c>
      <c r="C116" s="3" t="n">
        <v>143</v>
      </c>
      <c r="D116" s="3" t="n">
        <v>14</v>
      </c>
      <c r="E116" s="3" t="n">
        <v>3</v>
      </c>
      <c r="F116" s="3" t="n">
        <v>1</v>
      </c>
      <c r="G116" s="3" t="n">
        <v>0</v>
      </c>
      <c r="H116" s="4">
        <f>IFERROR(D116/C116,0)</f>
        <v/>
      </c>
      <c r="I116" s="4">
        <f>IFERROR(E116/D116,0)</f>
        <v/>
      </c>
      <c r="J116" s="4">
        <f>IFERROR(F116/E116,0)</f>
        <v/>
      </c>
      <c r="K116" s="4">
        <f>IFERROR(G116/C116,0)</f>
        <v/>
      </c>
    </row>
    <row r="117">
      <c r="A117" s="5" t="inlineStr">
        <is>
          <t>2026-01-20</t>
        </is>
      </c>
      <c r="B117" s="5" t="inlineStr">
        <is>
          <t>Facebook Ads</t>
        </is>
      </c>
      <c r="C117" s="6" t="n">
        <v>116</v>
      </c>
      <c r="D117" s="6" t="n">
        <v>3</v>
      </c>
      <c r="E117" s="6" t="n">
        <v>0</v>
      </c>
      <c r="F117" s="6" t="n">
        <v>0</v>
      </c>
      <c r="G117" s="6" t="n">
        <v>0</v>
      </c>
      <c r="H117" s="7">
        <f>IFERROR(D117/C117,0)</f>
        <v/>
      </c>
      <c r="I117" s="7">
        <f>IFERROR(E117/D117,0)</f>
        <v/>
      </c>
      <c r="J117" s="7">
        <f>IFERROR(F117/E117,0)</f>
        <v/>
      </c>
      <c r="K117" s="7">
        <f>IFERROR(G117/C117,0)</f>
        <v/>
      </c>
    </row>
    <row r="118">
      <c r="A118" s="2" t="inlineStr">
        <is>
          <t>2026-01-20</t>
        </is>
      </c>
      <c r="B118" s="2" t="inlineStr">
        <is>
          <t>Organic SEO</t>
        </is>
      </c>
      <c r="C118" s="3" t="n">
        <v>212</v>
      </c>
      <c r="D118" s="3" t="n">
        <v>21</v>
      </c>
      <c r="E118" s="3" t="n">
        <v>5</v>
      </c>
      <c r="F118" s="3" t="n">
        <v>2</v>
      </c>
      <c r="G118" s="3" t="n">
        <v>1</v>
      </c>
      <c r="H118" s="4">
        <f>IFERROR(D118/C118,0)</f>
        <v/>
      </c>
      <c r="I118" s="4">
        <f>IFERROR(E118/D118,0)</f>
        <v/>
      </c>
      <c r="J118" s="4">
        <f>IFERROR(F118/E118,0)</f>
        <v/>
      </c>
      <c r="K118" s="4">
        <f>IFERROR(G118/C118,0)</f>
        <v/>
      </c>
    </row>
    <row r="119">
      <c r="A119" s="5" t="inlineStr">
        <is>
          <t>2026-01-20</t>
        </is>
      </c>
      <c r="B119" s="5" t="inlineStr">
        <is>
          <t>Email</t>
        </is>
      </c>
      <c r="C119" s="6" t="n">
        <v>54</v>
      </c>
      <c r="D119" s="6" t="n">
        <v>7</v>
      </c>
      <c r="E119" s="6" t="n">
        <v>1</v>
      </c>
      <c r="F119" s="6" t="n">
        <v>0</v>
      </c>
      <c r="G119" s="6" t="n">
        <v>0</v>
      </c>
      <c r="H119" s="7">
        <f>IFERROR(D119/C119,0)</f>
        <v/>
      </c>
      <c r="I119" s="7">
        <f>IFERROR(E119/D119,0)</f>
        <v/>
      </c>
      <c r="J119" s="7">
        <f>IFERROR(F119/E119,0)</f>
        <v/>
      </c>
      <c r="K119" s="7">
        <f>IFERROR(G119/C119,0)</f>
        <v/>
      </c>
    </row>
    <row r="120">
      <c r="A120" s="2" t="inlineStr">
        <is>
          <t>2026-01-20</t>
        </is>
      </c>
      <c r="B120" s="2" t="inlineStr">
        <is>
          <t>Referral</t>
        </is>
      </c>
      <c r="C120" s="3" t="n">
        <v>29</v>
      </c>
      <c r="D120" s="3" t="n">
        <v>4</v>
      </c>
      <c r="E120" s="3" t="n">
        <v>1</v>
      </c>
      <c r="F120" s="3" t="n">
        <v>0</v>
      </c>
      <c r="G120" s="3" t="n">
        <v>0</v>
      </c>
      <c r="H120" s="4">
        <f>IFERROR(D120/C120,0)</f>
        <v/>
      </c>
      <c r="I120" s="4">
        <f>IFERROR(E120/D120,0)</f>
        <v/>
      </c>
      <c r="J120" s="4">
        <f>IFERROR(F120/E120,0)</f>
        <v/>
      </c>
      <c r="K120" s="4">
        <f>IFERROR(G120/C120,0)</f>
        <v/>
      </c>
    </row>
    <row r="121">
      <c r="A121" s="5" t="inlineStr">
        <is>
          <t>2026-01-20</t>
        </is>
      </c>
      <c r="B121" s="5" t="inlineStr">
        <is>
          <t>Direct</t>
        </is>
      </c>
      <c r="C121" s="6" t="n">
        <v>35</v>
      </c>
      <c r="D121" s="6" t="n">
        <v>1</v>
      </c>
      <c r="E121" s="6" t="n">
        <v>0</v>
      </c>
      <c r="F121" s="6" t="n">
        <v>0</v>
      </c>
      <c r="G121" s="6" t="n">
        <v>0</v>
      </c>
      <c r="H121" s="7">
        <f>IFERROR(D121/C121,0)</f>
        <v/>
      </c>
      <c r="I121" s="7">
        <f>IFERROR(E121/D121,0)</f>
        <v/>
      </c>
      <c r="J121" s="7">
        <f>IFERROR(F121/E121,0)</f>
        <v/>
      </c>
      <c r="K121" s="7">
        <f>IFERROR(G121/C121,0)</f>
        <v/>
      </c>
    </row>
    <row r="122">
      <c r="A122" s="2" t="inlineStr">
        <is>
          <t>2026-01-21</t>
        </is>
      </c>
      <c r="B122" s="2" t="inlineStr">
        <is>
          <t>Google Ads</t>
        </is>
      </c>
      <c r="C122" s="3" t="n">
        <v>238</v>
      </c>
      <c r="D122" s="3" t="n">
        <v>17</v>
      </c>
      <c r="E122" s="3" t="n">
        <v>4</v>
      </c>
      <c r="F122" s="3" t="n">
        <v>1</v>
      </c>
      <c r="G122" s="3" t="n">
        <v>1</v>
      </c>
      <c r="H122" s="4">
        <f>IFERROR(D122/C122,0)</f>
        <v/>
      </c>
      <c r="I122" s="4">
        <f>IFERROR(E122/D122,0)</f>
        <v/>
      </c>
      <c r="J122" s="4">
        <f>IFERROR(F122/E122,0)</f>
        <v/>
      </c>
      <c r="K122" s="4">
        <f>IFERROR(G122/C122,0)</f>
        <v/>
      </c>
    </row>
    <row r="123">
      <c r="A123" s="5" t="inlineStr">
        <is>
          <t>2026-01-21</t>
        </is>
      </c>
      <c r="B123" s="5" t="inlineStr">
        <is>
          <t>Facebook Ads</t>
        </is>
      </c>
      <c r="C123" s="6" t="n">
        <v>172</v>
      </c>
      <c r="D123" s="6" t="n">
        <v>7</v>
      </c>
      <c r="E123" s="6" t="n">
        <v>1</v>
      </c>
      <c r="F123" s="6" t="n">
        <v>0</v>
      </c>
      <c r="G123" s="6" t="n">
        <v>0</v>
      </c>
      <c r="H123" s="7">
        <f>IFERROR(D123/C123,0)</f>
        <v/>
      </c>
      <c r="I123" s="7">
        <f>IFERROR(E123/D123,0)</f>
        <v/>
      </c>
      <c r="J123" s="7">
        <f>IFERROR(F123/E123,0)</f>
        <v/>
      </c>
      <c r="K123" s="7">
        <f>IFERROR(G123/C123,0)</f>
        <v/>
      </c>
    </row>
    <row r="124">
      <c r="A124" s="2" t="inlineStr">
        <is>
          <t>2026-01-21</t>
        </is>
      </c>
      <c r="B124" s="2" t="inlineStr">
        <is>
          <t>Organic SEO</t>
        </is>
      </c>
      <c r="C124" s="3" t="n">
        <v>244</v>
      </c>
      <c r="D124" s="3" t="n">
        <v>23</v>
      </c>
      <c r="E124" s="3" t="n">
        <v>5</v>
      </c>
      <c r="F124" s="3" t="n">
        <v>1</v>
      </c>
      <c r="G124" s="3" t="n">
        <v>1</v>
      </c>
      <c r="H124" s="4">
        <f>IFERROR(D124/C124,0)</f>
        <v/>
      </c>
      <c r="I124" s="4">
        <f>IFERROR(E124/D124,0)</f>
        <v/>
      </c>
      <c r="J124" s="4">
        <f>IFERROR(F124/E124,0)</f>
        <v/>
      </c>
      <c r="K124" s="4">
        <f>IFERROR(G124/C124,0)</f>
        <v/>
      </c>
    </row>
    <row r="125">
      <c r="A125" s="5" t="inlineStr">
        <is>
          <t>2026-01-21</t>
        </is>
      </c>
      <c r="B125" s="5" t="inlineStr">
        <is>
          <t>Email</t>
        </is>
      </c>
      <c r="C125" s="6" t="n">
        <v>95</v>
      </c>
      <c r="D125" s="6" t="n">
        <v>14</v>
      </c>
      <c r="E125" s="6" t="n">
        <v>4</v>
      </c>
      <c r="F125" s="6" t="n">
        <v>1</v>
      </c>
      <c r="G125" s="6" t="n">
        <v>1</v>
      </c>
      <c r="H125" s="7">
        <f>IFERROR(D125/C125,0)</f>
        <v/>
      </c>
      <c r="I125" s="7">
        <f>IFERROR(E125/D125,0)</f>
        <v/>
      </c>
      <c r="J125" s="7">
        <f>IFERROR(F125/E125,0)</f>
        <v/>
      </c>
      <c r="K125" s="7">
        <f>IFERROR(G125/C125,0)</f>
        <v/>
      </c>
    </row>
    <row r="126">
      <c r="A126" s="2" t="inlineStr">
        <is>
          <t>2026-01-21</t>
        </is>
      </c>
      <c r="B126" s="2" t="inlineStr">
        <is>
          <t>Referral</t>
        </is>
      </c>
      <c r="C126" s="3" t="n">
        <v>45</v>
      </c>
      <c r="D126" s="3" t="n">
        <v>5</v>
      </c>
      <c r="E126" s="3" t="n">
        <v>1</v>
      </c>
      <c r="F126" s="3" t="n">
        <v>0</v>
      </c>
      <c r="G126" s="3" t="n">
        <v>0</v>
      </c>
      <c r="H126" s="4">
        <f>IFERROR(D126/C126,0)</f>
        <v/>
      </c>
      <c r="I126" s="4">
        <f>IFERROR(E126/D126,0)</f>
        <v/>
      </c>
      <c r="J126" s="4">
        <f>IFERROR(F126/E126,0)</f>
        <v/>
      </c>
      <c r="K126" s="4">
        <f>IFERROR(G126/C126,0)</f>
        <v/>
      </c>
    </row>
    <row r="127">
      <c r="A127" s="5" t="inlineStr">
        <is>
          <t>2026-01-21</t>
        </is>
      </c>
      <c r="B127" s="5" t="inlineStr">
        <is>
          <t>Direct</t>
        </is>
      </c>
      <c r="C127" s="6" t="n">
        <v>78</v>
      </c>
      <c r="D127" s="6" t="n">
        <v>6</v>
      </c>
      <c r="E127" s="6" t="n">
        <v>1</v>
      </c>
      <c r="F127" s="6" t="n">
        <v>0</v>
      </c>
      <c r="G127" s="6" t="n">
        <v>0</v>
      </c>
      <c r="H127" s="7">
        <f>IFERROR(D127/C127,0)</f>
        <v/>
      </c>
      <c r="I127" s="7">
        <f>IFERROR(E127/D127,0)</f>
        <v/>
      </c>
      <c r="J127" s="7">
        <f>IFERROR(F127/E127,0)</f>
        <v/>
      </c>
      <c r="K127" s="7">
        <f>IFERROR(G127/C127,0)</f>
        <v/>
      </c>
    </row>
    <row r="128">
      <c r="A128" s="2" t="inlineStr">
        <is>
          <t>2026-01-22</t>
        </is>
      </c>
      <c r="B128" s="2" t="inlineStr">
        <is>
          <t>Google Ads</t>
        </is>
      </c>
      <c r="C128" s="3" t="n">
        <v>181</v>
      </c>
      <c r="D128" s="3" t="n">
        <v>17</v>
      </c>
      <c r="E128" s="3" t="n">
        <v>3</v>
      </c>
      <c r="F128" s="3" t="n">
        <v>1</v>
      </c>
      <c r="G128" s="3" t="n">
        <v>1</v>
      </c>
      <c r="H128" s="4">
        <f>IFERROR(D128/C128,0)</f>
        <v/>
      </c>
      <c r="I128" s="4">
        <f>IFERROR(E128/D128,0)</f>
        <v/>
      </c>
      <c r="J128" s="4">
        <f>IFERROR(F128/E128,0)</f>
        <v/>
      </c>
      <c r="K128" s="4">
        <f>IFERROR(G128/C128,0)</f>
        <v/>
      </c>
    </row>
    <row r="129">
      <c r="A129" s="5" t="inlineStr">
        <is>
          <t>2026-01-22</t>
        </is>
      </c>
      <c r="B129" s="5" t="inlineStr">
        <is>
          <t>Facebook Ads</t>
        </is>
      </c>
      <c r="C129" s="6" t="n">
        <v>131</v>
      </c>
      <c r="D129" s="6" t="n">
        <v>5</v>
      </c>
      <c r="E129" s="6" t="n">
        <v>1</v>
      </c>
      <c r="F129" s="6" t="n">
        <v>0</v>
      </c>
      <c r="G129" s="6" t="n">
        <v>0</v>
      </c>
      <c r="H129" s="7">
        <f>IFERROR(D129/C129,0)</f>
        <v/>
      </c>
      <c r="I129" s="7">
        <f>IFERROR(E129/D129,0)</f>
        <v/>
      </c>
      <c r="J129" s="7">
        <f>IFERROR(F129/E129,0)</f>
        <v/>
      </c>
      <c r="K129" s="7">
        <f>IFERROR(G129/C129,0)</f>
        <v/>
      </c>
    </row>
    <row r="130">
      <c r="A130" s="2" t="inlineStr">
        <is>
          <t>2026-01-22</t>
        </is>
      </c>
      <c r="B130" s="2" t="inlineStr">
        <is>
          <t>Organic SEO</t>
        </is>
      </c>
      <c r="C130" s="3" t="n">
        <v>243</v>
      </c>
      <c r="D130" s="3" t="n">
        <v>25</v>
      </c>
      <c r="E130" s="3" t="n">
        <v>5</v>
      </c>
      <c r="F130" s="3" t="n">
        <v>2</v>
      </c>
      <c r="G130" s="3" t="n">
        <v>1</v>
      </c>
      <c r="H130" s="4">
        <f>IFERROR(D130/C130,0)</f>
        <v/>
      </c>
      <c r="I130" s="4">
        <f>IFERROR(E130/D130,0)</f>
        <v/>
      </c>
      <c r="J130" s="4">
        <f>IFERROR(F130/E130,0)</f>
        <v/>
      </c>
      <c r="K130" s="4">
        <f>IFERROR(G130/C130,0)</f>
        <v/>
      </c>
    </row>
    <row r="131">
      <c r="A131" s="5" t="inlineStr">
        <is>
          <t>2026-01-22</t>
        </is>
      </c>
      <c r="B131" s="5" t="inlineStr">
        <is>
          <t>Email</t>
        </is>
      </c>
      <c r="C131" s="6" t="n">
        <v>83</v>
      </c>
      <c r="D131" s="6" t="n">
        <v>9</v>
      </c>
      <c r="E131" s="6" t="n">
        <v>2</v>
      </c>
      <c r="F131" s="6" t="n">
        <v>0</v>
      </c>
      <c r="G131" s="6" t="n">
        <v>1</v>
      </c>
      <c r="H131" s="7">
        <f>IFERROR(D131/C131,0)</f>
        <v/>
      </c>
      <c r="I131" s="7">
        <f>IFERROR(E131/D131,0)</f>
        <v/>
      </c>
      <c r="J131" s="7">
        <f>IFERROR(F131/E131,0)</f>
        <v/>
      </c>
      <c r="K131" s="7">
        <f>IFERROR(G131/C131,0)</f>
        <v/>
      </c>
    </row>
    <row r="132">
      <c r="A132" s="2" t="inlineStr">
        <is>
          <t>2026-01-22</t>
        </is>
      </c>
      <c r="B132" s="2" t="inlineStr">
        <is>
          <t>Referral</t>
        </is>
      </c>
      <c r="C132" s="3" t="n">
        <v>56</v>
      </c>
      <c r="D132" s="3" t="n">
        <v>9</v>
      </c>
      <c r="E132" s="3" t="n">
        <v>2</v>
      </c>
      <c r="F132" s="3" t="n">
        <v>0</v>
      </c>
      <c r="G132" s="3" t="n">
        <v>0</v>
      </c>
      <c r="H132" s="4">
        <f>IFERROR(D132/C132,0)</f>
        <v/>
      </c>
      <c r="I132" s="4">
        <f>IFERROR(E132/D132,0)</f>
        <v/>
      </c>
      <c r="J132" s="4">
        <f>IFERROR(F132/E132,0)</f>
        <v/>
      </c>
      <c r="K132" s="4">
        <f>IFERROR(G132/C132,0)</f>
        <v/>
      </c>
    </row>
    <row r="133">
      <c r="A133" s="5" t="inlineStr">
        <is>
          <t>2026-01-22</t>
        </is>
      </c>
      <c r="B133" s="5" t="inlineStr">
        <is>
          <t>Direct</t>
        </is>
      </c>
      <c r="C133" s="6" t="n">
        <v>107</v>
      </c>
      <c r="D133" s="6" t="n">
        <v>6</v>
      </c>
      <c r="E133" s="6" t="n">
        <v>1</v>
      </c>
      <c r="F133" s="6" t="n">
        <v>0</v>
      </c>
      <c r="G133" s="6" t="n">
        <v>0</v>
      </c>
      <c r="H133" s="7">
        <f>IFERROR(D133/C133,0)</f>
        <v/>
      </c>
      <c r="I133" s="7">
        <f>IFERROR(E133/D133,0)</f>
        <v/>
      </c>
      <c r="J133" s="7">
        <f>IFERROR(F133/E133,0)</f>
        <v/>
      </c>
      <c r="K133" s="7">
        <f>IFERROR(G133/C133,0)</f>
        <v/>
      </c>
    </row>
    <row r="134">
      <c r="A134" s="2" t="inlineStr">
        <is>
          <t>2026-01-23</t>
        </is>
      </c>
      <c r="B134" s="2" t="inlineStr">
        <is>
          <t>Google Ads</t>
        </is>
      </c>
      <c r="C134" s="3" t="n">
        <v>142</v>
      </c>
      <c r="D134" s="3" t="n">
        <v>9</v>
      </c>
      <c r="E134" s="3" t="n">
        <v>2</v>
      </c>
      <c r="F134" s="3" t="n">
        <v>0</v>
      </c>
      <c r="G134" s="3" t="n">
        <v>0</v>
      </c>
      <c r="H134" s="4">
        <f>IFERROR(D134/C134,0)</f>
        <v/>
      </c>
      <c r="I134" s="4">
        <f>IFERROR(E134/D134,0)</f>
        <v/>
      </c>
      <c r="J134" s="4">
        <f>IFERROR(F134/E134,0)</f>
        <v/>
      </c>
      <c r="K134" s="4">
        <f>IFERROR(G134/C134,0)</f>
        <v/>
      </c>
    </row>
    <row r="135">
      <c r="A135" s="5" t="inlineStr">
        <is>
          <t>2026-01-23</t>
        </is>
      </c>
      <c r="B135" s="5" t="inlineStr">
        <is>
          <t>Facebook Ads</t>
        </is>
      </c>
      <c r="C135" s="6" t="n">
        <v>174</v>
      </c>
      <c r="D135" s="6" t="n">
        <v>5</v>
      </c>
      <c r="E135" s="6" t="n">
        <v>1</v>
      </c>
      <c r="F135" s="6" t="n">
        <v>0</v>
      </c>
      <c r="G135" s="6" t="n">
        <v>0</v>
      </c>
      <c r="H135" s="7">
        <f>IFERROR(D135/C135,0)</f>
        <v/>
      </c>
      <c r="I135" s="7">
        <f>IFERROR(E135/D135,0)</f>
        <v/>
      </c>
      <c r="J135" s="7">
        <f>IFERROR(F135/E135,0)</f>
        <v/>
      </c>
      <c r="K135" s="7">
        <f>IFERROR(G135/C135,0)</f>
        <v/>
      </c>
    </row>
    <row r="136">
      <c r="A136" s="2" t="inlineStr">
        <is>
          <t>2026-01-23</t>
        </is>
      </c>
      <c r="B136" s="2" t="inlineStr">
        <is>
          <t>Organic SEO</t>
        </is>
      </c>
      <c r="C136" s="3" t="n">
        <v>250</v>
      </c>
      <c r="D136" s="3" t="n">
        <v>20</v>
      </c>
      <c r="E136" s="3" t="n">
        <v>4</v>
      </c>
      <c r="F136" s="3" t="n">
        <v>1</v>
      </c>
      <c r="G136" s="3" t="n">
        <v>1</v>
      </c>
      <c r="H136" s="4">
        <f>IFERROR(D136/C136,0)</f>
        <v/>
      </c>
      <c r="I136" s="4">
        <f>IFERROR(E136/D136,0)</f>
        <v/>
      </c>
      <c r="J136" s="4">
        <f>IFERROR(F136/E136,0)</f>
        <v/>
      </c>
      <c r="K136" s="4">
        <f>IFERROR(G136/C136,0)</f>
        <v/>
      </c>
    </row>
    <row r="137">
      <c r="A137" s="5" t="inlineStr">
        <is>
          <t>2026-01-23</t>
        </is>
      </c>
      <c r="B137" s="5" t="inlineStr">
        <is>
          <t>Email</t>
        </is>
      </c>
      <c r="C137" s="6" t="n">
        <v>55</v>
      </c>
      <c r="D137" s="6" t="n">
        <v>7</v>
      </c>
      <c r="E137" s="6" t="n">
        <v>1</v>
      </c>
      <c r="F137" s="6" t="n">
        <v>0</v>
      </c>
      <c r="G137" s="6" t="n">
        <v>0</v>
      </c>
      <c r="H137" s="7">
        <f>IFERROR(D137/C137,0)</f>
        <v/>
      </c>
      <c r="I137" s="7">
        <f>IFERROR(E137/D137,0)</f>
        <v/>
      </c>
      <c r="J137" s="7">
        <f>IFERROR(F137/E137,0)</f>
        <v/>
      </c>
      <c r="K137" s="7">
        <f>IFERROR(G137/C137,0)</f>
        <v/>
      </c>
    </row>
    <row r="138">
      <c r="A138" s="2" t="inlineStr">
        <is>
          <t>2026-01-23</t>
        </is>
      </c>
      <c r="B138" s="2" t="inlineStr">
        <is>
          <t>Referral</t>
        </is>
      </c>
      <c r="C138" s="3" t="n">
        <v>78</v>
      </c>
      <c r="D138" s="3" t="n">
        <v>10</v>
      </c>
      <c r="E138" s="3" t="n">
        <v>2</v>
      </c>
      <c r="F138" s="3" t="n">
        <v>0</v>
      </c>
      <c r="G138" s="3" t="n">
        <v>1</v>
      </c>
      <c r="H138" s="4">
        <f>IFERROR(D138/C138,0)</f>
        <v/>
      </c>
      <c r="I138" s="4">
        <f>IFERROR(E138/D138,0)</f>
        <v/>
      </c>
      <c r="J138" s="4">
        <f>IFERROR(F138/E138,0)</f>
        <v/>
      </c>
      <c r="K138" s="4">
        <f>IFERROR(G138/C138,0)</f>
        <v/>
      </c>
    </row>
    <row r="139">
      <c r="A139" s="5" t="inlineStr">
        <is>
          <t>2026-01-23</t>
        </is>
      </c>
      <c r="B139" s="5" t="inlineStr">
        <is>
          <t>Direct</t>
        </is>
      </c>
      <c r="C139" s="6" t="n">
        <v>107</v>
      </c>
      <c r="D139" s="6" t="n">
        <v>7</v>
      </c>
      <c r="E139" s="6" t="n">
        <v>1</v>
      </c>
      <c r="F139" s="6" t="n">
        <v>0</v>
      </c>
      <c r="G139" s="6" t="n">
        <v>0</v>
      </c>
      <c r="H139" s="7">
        <f>IFERROR(D139/C139,0)</f>
        <v/>
      </c>
      <c r="I139" s="7">
        <f>IFERROR(E139/D139,0)</f>
        <v/>
      </c>
      <c r="J139" s="7">
        <f>IFERROR(F139/E139,0)</f>
        <v/>
      </c>
      <c r="K139" s="7">
        <f>IFERROR(G139/C139,0)</f>
        <v/>
      </c>
    </row>
    <row r="140">
      <c r="A140" s="2" t="inlineStr">
        <is>
          <t>2026-01-24</t>
        </is>
      </c>
      <c r="B140" s="2" t="inlineStr">
        <is>
          <t>Google Ads</t>
        </is>
      </c>
      <c r="C140" s="3" t="n">
        <v>169</v>
      </c>
      <c r="D140" s="3" t="n">
        <v>12</v>
      </c>
      <c r="E140" s="3" t="n">
        <v>3</v>
      </c>
      <c r="F140" s="3" t="n">
        <v>1</v>
      </c>
      <c r="G140" s="3" t="n">
        <v>0</v>
      </c>
      <c r="H140" s="4">
        <f>IFERROR(D140/C140,0)</f>
        <v/>
      </c>
      <c r="I140" s="4">
        <f>IFERROR(E140/D140,0)</f>
        <v/>
      </c>
      <c r="J140" s="4">
        <f>IFERROR(F140/E140,0)</f>
        <v/>
      </c>
      <c r="K140" s="4">
        <f>IFERROR(G140/C140,0)</f>
        <v/>
      </c>
    </row>
    <row r="141">
      <c r="A141" s="5" t="inlineStr">
        <is>
          <t>2026-01-24</t>
        </is>
      </c>
      <c r="B141" s="5" t="inlineStr">
        <is>
          <t>Facebook Ads</t>
        </is>
      </c>
      <c r="C141" s="6" t="n">
        <v>105</v>
      </c>
      <c r="D141" s="6" t="n">
        <v>5</v>
      </c>
      <c r="E141" s="6" t="n">
        <v>1</v>
      </c>
      <c r="F141" s="6" t="n">
        <v>0</v>
      </c>
      <c r="G141" s="6" t="n">
        <v>0</v>
      </c>
      <c r="H141" s="7">
        <f>IFERROR(D141/C141,0)</f>
        <v/>
      </c>
      <c r="I141" s="7">
        <f>IFERROR(E141/D141,0)</f>
        <v/>
      </c>
      <c r="J141" s="7">
        <f>IFERROR(F141/E141,0)</f>
        <v/>
      </c>
      <c r="K141" s="7">
        <f>IFERROR(G141/C141,0)</f>
        <v/>
      </c>
    </row>
    <row r="142">
      <c r="A142" s="2" t="inlineStr">
        <is>
          <t>2026-01-24</t>
        </is>
      </c>
      <c r="B142" s="2" t="inlineStr">
        <is>
          <t>Organic SEO</t>
        </is>
      </c>
      <c r="C142" s="3" t="n">
        <v>276</v>
      </c>
      <c r="D142" s="3" t="n">
        <v>24</v>
      </c>
      <c r="E142" s="3" t="n">
        <v>6</v>
      </c>
      <c r="F142" s="3" t="n">
        <v>2</v>
      </c>
      <c r="G142" s="3" t="n">
        <v>2</v>
      </c>
      <c r="H142" s="4">
        <f>IFERROR(D142/C142,0)</f>
        <v/>
      </c>
      <c r="I142" s="4">
        <f>IFERROR(E142/D142,0)</f>
        <v/>
      </c>
      <c r="J142" s="4">
        <f>IFERROR(F142/E142,0)</f>
        <v/>
      </c>
      <c r="K142" s="4">
        <f>IFERROR(G142/C142,0)</f>
        <v/>
      </c>
    </row>
    <row r="143">
      <c r="A143" s="5" t="inlineStr">
        <is>
          <t>2026-01-24</t>
        </is>
      </c>
      <c r="B143" s="5" t="inlineStr">
        <is>
          <t>Email</t>
        </is>
      </c>
      <c r="C143" s="6" t="n">
        <v>96</v>
      </c>
      <c r="D143" s="6" t="n">
        <v>11</v>
      </c>
      <c r="E143" s="6" t="n">
        <v>2</v>
      </c>
      <c r="F143" s="6" t="n">
        <v>0</v>
      </c>
      <c r="G143" s="6" t="n">
        <v>1</v>
      </c>
      <c r="H143" s="7">
        <f>IFERROR(D143/C143,0)</f>
        <v/>
      </c>
      <c r="I143" s="7">
        <f>IFERROR(E143/D143,0)</f>
        <v/>
      </c>
      <c r="J143" s="7">
        <f>IFERROR(F143/E143,0)</f>
        <v/>
      </c>
      <c r="K143" s="7">
        <f>IFERROR(G143/C143,0)</f>
        <v/>
      </c>
    </row>
    <row r="144">
      <c r="A144" s="2" t="inlineStr">
        <is>
          <t>2026-01-24</t>
        </is>
      </c>
      <c r="B144" s="2" t="inlineStr">
        <is>
          <t>Referral</t>
        </is>
      </c>
      <c r="C144" s="3" t="n">
        <v>10</v>
      </c>
      <c r="D144" s="3" t="n">
        <v>1</v>
      </c>
      <c r="E144" s="3" t="n">
        <v>0</v>
      </c>
      <c r="F144" s="3" t="n">
        <v>0</v>
      </c>
      <c r="G144" s="3" t="n">
        <v>0</v>
      </c>
      <c r="H144" s="4">
        <f>IFERROR(D144/C144,0)</f>
        <v/>
      </c>
      <c r="I144" s="4">
        <f>IFERROR(E144/D144,0)</f>
        <v/>
      </c>
      <c r="J144" s="4">
        <f>IFERROR(F144/E144,0)</f>
        <v/>
      </c>
      <c r="K144" s="4">
        <f>IFERROR(G144/C144,0)</f>
        <v/>
      </c>
    </row>
    <row r="145">
      <c r="A145" s="5" t="inlineStr">
        <is>
          <t>2026-01-24</t>
        </is>
      </c>
      <c r="B145" s="5" t="inlineStr">
        <is>
          <t>Direct</t>
        </is>
      </c>
      <c r="C145" s="6" t="n">
        <v>16</v>
      </c>
      <c r="D145" s="6" t="n">
        <v>0</v>
      </c>
      <c r="E145" s="6" t="n">
        <v>0</v>
      </c>
      <c r="F145" s="6" t="n">
        <v>0</v>
      </c>
      <c r="G145" s="6" t="n">
        <v>0</v>
      </c>
      <c r="H145" s="7">
        <f>IFERROR(D145/C145,0)</f>
        <v/>
      </c>
      <c r="I145" s="7">
        <f>IFERROR(E145/D145,0)</f>
        <v/>
      </c>
      <c r="J145" s="7">
        <f>IFERROR(F145/E145,0)</f>
        <v/>
      </c>
      <c r="K145" s="7">
        <f>IFERROR(G145/C145,0)</f>
        <v/>
      </c>
    </row>
    <row r="146">
      <c r="A146" s="2" t="inlineStr">
        <is>
          <t>2026-01-25</t>
        </is>
      </c>
      <c r="B146" s="2" t="inlineStr">
        <is>
          <t>Google Ads</t>
        </is>
      </c>
      <c r="C146" s="3" t="n">
        <v>171</v>
      </c>
      <c r="D146" s="3" t="n">
        <v>11</v>
      </c>
      <c r="E146" s="3" t="n">
        <v>2</v>
      </c>
      <c r="F146" s="3" t="n">
        <v>0</v>
      </c>
      <c r="G146" s="3" t="n">
        <v>0</v>
      </c>
      <c r="H146" s="4">
        <f>IFERROR(D146/C146,0)</f>
        <v/>
      </c>
      <c r="I146" s="4">
        <f>IFERROR(E146/D146,0)</f>
        <v/>
      </c>
      <c r="J146" s="4">
        <f>IFERROR(F146/E146,0)</f>
        <v/>
      </c>
      <c r="K146" s="4">
        <f>IFERROR(G146/C146,0)</f>
        <v/>
      </c>
    </row>
    <row r="147">
      <c r="A147" s="5" t="inlineStr">
        <is>
          <t>2026-01-25</t>
        </is>
      </c>
      <c r="B147" s="5" t="inlineStr">
        <is>
          <t>Facebook Ads</t>
        </is>
      </c>
      <c r="C147" s="6" t="n">
        <v>128</v>
      </c>
      <c r="D147" s="6" t="n">
        <v>5</v>
      </c>
      <c r="E147" s="6" t="n">
        <v>1</v>
      </c>
      <c r="F147" s="6" t="n">
        <v>0</v>
      </c>
      <c r="G147" s="6" t="n">
        <v>0</v>
      </c>
      <c r="H147" s="7">
        <f>IFERROR(D147/C147,0)</f>
        <v/>
      </c>
      <c r="I147" s="7">
        <f>IFERROR(E147/D147,0)</f>
        <v/>
      </c>
      <c r="J147" s="7">
        <f>IFERROR(F147/E147,0)</f>
        <v/>
      </c>
      <c r="K147" s="7">
        <f>IFERROR(G147/C147,0)</f>
        <v/>
      </c>
    </row>
    <row r="148">
      <c r="A148" s="2" t="inlineStr">
        <is>
          <t>2026-01-25</t>
        </is>
      </c>
      <c r="B148" s="2" t="inlineStr">
        <is>
          <t>Organic SEO</t>
        </is>
      </c>
      <c r="C148" s="3" t="n">
        <v>255</v>
      </c>
      <c r="D148" s="3" t="n">
        <v>27</v>
      </c>
      <c r="E148" s="3" t="n">
        <v>7</v>
      </c>
      <c r="F148" s="3" t="n">
        <v>2</v>
      </c>
      <c r="G148" s="3" t="n">
        <v>1</v>
      </c>
      <c r="H148" s="4">
        <f>IFERROR(D148/C148,0)</f>
        <v/>
      </c>
      <c r="I148" s="4">
        <f>IFERROR(E148/D148,0)</f>
        <v/>
      </c>
      <c r="J148" s="4">
        <f>IFERROR(F148/E148,0)</f>
        <v/>
      </c>
      <c r="K148" s="4">
        <f>IFERROR(G148/C148,0)</f>
        <v/>
      </c>
    </row>
    <row r="149">
      <c r="A149" s="5" t="inlineStr">
        <is>
          <t>2026-01-25</t>
        </is>
      </c>
      <c r="B149" s="5" t="inlineStr">
        <is>
          <t>Email</t>
        </is>
      </c>
      <c r="C149" s="6" t="n">
        <v>134</v>
      </c>
      <c r="D149" s="6" t="n">
        <v>14</v>
      </c>
      <c r="E149" s="6" t="n">
        <v>3</v>
      </c>
      <c r="F149" s="6" t="n">
        <v>1</v>
      </c>
      <c r="G149" s="6" t="n">
        <v>1</v>
      </c>
      <c r="H149" s="7">
        <f>IFERROR(D149/C149,0)</f>
        <v/>
      </c>
      <c r="I149" s="7">
        <f>IFERROR(E149/D149,0)</f>
        <v/>
      </c>
      <c r="J149" s="7">
        <f>IFERROR(F149/E149,0)</f>
        <v/>
      </c>
      <c r="K149" s="7">
        <f>IFERROR(G149/C149,0)</f>
        <v/>
      </c>
    </row>
    <row r="150">
      <c r="A150" s="2" t="inlineStr">
        <is>
          <t>2026-01-25</t>
        </is>
      </c>
      <c r="B150" s="2" t="inlineStr">
        <is>
          <t>Referral</t>
        </is>
      </c>
      <c r="C150" s="3" t="n">
        <v>10</v>
      </c>
      <c r="D150" s="3" t="n">
        <v>1</v>
      </c>
      <c r="E150" s="3" t="n">
        <v>0</v>
      </c>
      <c r="F150" s="3" t="n">
        <v>0</v>
      </c>
      <c r="G150" s="3" t="n">
        <v>0</v>
      </c>
      <c r="H150" s="4">
        <f>IFERROR(D150/C150,0)</f>
        <v/>
      </c>
      <c r="I150" s="4">
        <f>IFERROR(E150/D150,0)</f>
        <v/>
      </c>
      <c r="J150" s="4">
        <f>IFERROR(F150/E150,0)</f>
        <v/>
      </c>
      <c r="K150" s="4">
        <f>IFERROR(G150/C150,0)</f>
        <v/>
      </c>
    </row>
    <row r="151">
      <c r="A151" s="5" t="inlineStr">
        <is>
          <t>2026-01-25</t>
        </is>
      </c>
      <c r="B151" s="5" t="inlineStr">
        <is>
          <t>Direct</t>
        </is>
      </c>
      <c r="C151" s="6" t="n">
        <v>67</v>
      </c>
      <c r="D151" s="6" t="n">
        <v>5</v>
      </c>
      <c r="E151" s="6" t="n">
        <v>1</v>
      </c>
      <c r="F151" s="6" t="n">
        <v>0</v>
      </c>
      <c r="G151" s="6" t="n">
        <v>0</v>
      </c>
      <c r="H151" s="7">
        <f>IFERROR(D151/C151,0)</f>
        <v/>
      </c>
      <c r="I151" s="7">
        <f>IFERROR(E151/D151,0)</f>
        <v/>
      </c>
      <c r="J151" s="7">
        <f>IFERROR(F151/E151,0)</f>
        <v/>
      </c>
      <c r="K151" s="7">
        <f>IFERROR(G151/C151,0)</f>
        <v/>
      </c>
    </row>
    <row r="152">
      <c r="A152" s="2" t="inlineStr">
        <is>
          <t>2026-01-26</t>
        </is>
      </c>
      <c r="B152" s="2" t="inlineStr">
        <is>
          <t>Google Ads</t>
        </is>
      </c>
      <c r="C152" s="3" t="n">
        <v>176</v>
      </c>
      <c r="D152" s="3" t="n">
        <v>15</v>
      </c>
      <c r="E152" s="3" t="n">
        <v>4</v>
      </c>
      <c r="F152" s="3" t="n">
        <v>1</v>
      </c>
      <c r="G152" s="3" t="n">
        <v>0</v>
      </c>
      <c r="H152" s="4">
        <f>IFERROR(D152/C152,0)</f>
        <v/>
      </c>
      <c r="I152" s="4">
        <f>IFERROR(E152/D152,0)</f>
        <v/>
      </c>
      <c r="J152" s="4">
        <f>IFERROR(F152/E152,0)</f>
        <v/>
      </c>
      <c r="K152" s="4">
        <f>IFERROR(G152/C152,0)</f>
        <v/>
      </c>
    </row>
    <row r="153">
      <c r="A153" s="5" t="inlineStr">
        <is>
          <t>2026-01-26</t>
        </is>
      </c>
      <c r="B153" s="5" t="inlineStr">
        <is>
          <t>Facebook Ads</t>
        </is>
      </c>
      <c r="C153" s="6" t="n">
        <v>200</v>
      </c>
      <c r="D153" s="6" t="n">
        <v>8</v>
      </c>
      <c r="E153" s="6" t="n">
        <v>2</v>
      </c>
      <c r="F153" s="6" t="n">
        <v>0</v>
      </c>
      <c r="G153" s="6" t="n">
        <v>0</v>
      </c>
      <c r="H153" s="7">
        <f>IFERROR(D153/C153,0)</f>
        <v/>
      </c>
      <c r="I153" s="7">
        <f>IFERROR(E153/D153,0)</f>
        <v/>
      </c>
      <c r="J153" s="7">
        <f>IFERROR(F153/E153,0)</f>
        <v/>
      </c>
      <c r="K153" s="7">
        <f>IFERROR(G153/C153,0)</f>
        <v/>
      </c>
    </row>
    <row r="154">
      <c r="A154" s="2" t="inlineStr">
        <is>
          <t>2026-01-26</t>
        </is>
      </c>
      <c r="B154" s="2" t="inlineStr">
        <is>
          <t>Organic SEO</t>
        </is>
      </c>
      <c r="C154" s="3" t="n">
        <v>194</v>
      </c>
      <c r="D154" s="3" t="n">
        <v>17</v>
      </c>
      <c r="E154" s="3" t="n">
        <v>4</v>
      </c>
      <c r="F154" s="3" t="n">
        <v>1</v>
      </c>
      <c r="G154" s="3" t="n">
        <v>1</v>
      </c>
      <c r="H154" s="4">
        <f>IFERROR(D154/C154,0)</f>
        <v/>
      </c>
      <c r="I154" s="4">
        <f>IFERROR(E154/D154,0)</f>
        <v/>
      </c>
      <c r="J154" s="4">
        <f>IFERROR(F154/E154,0)</f>
        <v/>
      </c>
      <c r="K154" s="4">
        <f>IFERROR(G154/C154,0)</f>
        <v/>
      </c>
    </row>
    <row r="155">
      <c r="A155" s="5" t="inlineStr">
        <is>
          <t>2026-01-26</t>
        </is>
      </c>
      <c r="B155" s="5" t="inlineStr">
        <is>
          <t>Email</t>
        </is>
      </c>
      <c r="C155" s="6" t="n">
        <v>49</v>
      </c>
      <c r="D155" s="6" t="n">
        <v>5</v>
      </c>
      <c r="E155" s="6" t="n">
        <v>1</v>
      </c>
      <c r="F155" s="6" t="n">
        <v>0</v>
      </c>
      <c r="G155" s="6" t="n">
        <v>0</v>
      </c>
      <c r="H155" s="7">
        <f>IFERROR(D155/C155,0)</f>
        <v/>
      </c>
      <c r="I155" s="7">
        <f>IFERROR(E155/D155,0)</f>
        <v/>
      </c>
      <c r="J155" s="7">
        <f>IFERROR(F155/E155,0)</f>
        <v/>
      </c>
      <c r="K155" s="7">
        <f>IFERROR(G155/C155,0)</f>
        <v/>
      </c>
    </row>
    <row r="156">
      <c r="A156" s="2" t="inlineStr">
        <is>
          <t>2026-01-26</t>
        </is>
      </c>
      <c r="B156" s="2" t="inlineStr">
        <is>
          <t>Referral</t>
        </is>
      </c>
      <c r="C156" s="3" t="n">
        <v>26</v>
      </c>
      <c r="D156" s="3" t="n">
        <v>3</v>
      </c>
      <c r="E156" s="3" t="n">
        <v>0</v>
      </c>
      <c r="F156" s="3" t="n">
        <v>0</v>
      </c>
      <c r="G156" s="3" t="n">
        <v>0</v>
      </c>
      <c r="H156" s="4">
        <f>IFERROR(D156/C156,0)</f>
        <v/>
      </c>
      <c r="I156" s="4">
        <f>IFERROR(E156/D156,0)</f>
        <v/>
      </c>
      <c r="J156" s="4">
        <f>IFERROR(F156/E156,0)</f>
        <v/>
      </c>
      <c r="K156" s="4">
        <f>IFERROR(G156/C156,0)</f>
        <v/>
      </c>
    </row>
    <row r="157">
      <c r="A157" s="5" t="inlineStr">
        <is>
          <t>2026-01-26</t>
        </is>
      </c>
      <c r="B157" s="5" t="inlineStr">
        <is>
          <t>Direct</t>
        </is>
      </c>
      <c r="C157" s="6" t="n">
        <v>44</v>
      </c>
      <c r="D157" s="6" t="n">
        <v>3</v>
      </c>
      <c r="E157" s="6" t="n">
        <v>0</v>
      </c>
      <c r="F157" s="6" t="n">
        <v>0</v>
      </c>
      <c r="G157" s="6" t="n">
        <v>0</v>
      </c>
      <c r="H157" s="7">
        <f>IFERROR(D157/C157,0)</f>
        <v/>
      </c>
      <c r="I157" s="7">
        <f>IFERROR(E157/D157,0)</f>
        <v/>
      </c>
      <c r="J157" s="7">
        <f>IFERROR(F157/E157,0)</f>
        <v/>
      </c>
      <c r="K157" s="7">
        <f>IFERROR(G157/C157,0)</f>
        <v/>
      </c>
    </row>
    <row r="158">
      <c r="A158" s="2" t="inlineStr">
        <is>
          <t>2026-01-27</t>
        </is>
      </c>
      <c r="B158" s="2" t="inlineStr">
        <is>
          <t>Google Ads</t>
        </is>
      </c>
      <c r="C158" s="3" t="n">
        <v>195</v>
      </c>
      <c r="D158" s="3" t="n">
        <v>17</v>
      </c>
      <c r="E158" s="3" t="n">
        <v>3</v>
      </c>
      <c r="F158" s="3" t="n">
        <v>1</v>
      </c>
      <c r="G158" s="3" t="n">
        <v>1</v>
      </c>
      <c r="H158" s="4">
        <f>IFERROR(D158/C158,0)</f>
        <v/>
      </c>
      <c r="I158" s="4">
        <f>IFERROR(E158/D158,0)</f>
        <v/>
      </c>
      <c r="J158" s="4">
        <f>IFERROR(F158/E158,0)</f>
        <v/>
      </c>
      <c r="K158" s="4">
        <f>IFERROR(G158/C158,0)</f>
        <v/>
      </c>
    </row>
    <row r="159">
      <c r="A159" s="5" t="inlineStr">
        <is>
          <t>2026-01-27</t>
        </is>
      </c>
      <c r="B159" s="5" t="inlineStr">
        <is>
          <t>Facebook Ads</t>
        </is>
      </c>
      <c r="C159" s="6" t="n">
        <v>186</v>
      </c>
      <c r="D159" s="6" t="n">
        <v>8</v>
      </c>
      <c r="E159" s="6" t="n">
        <v>2</v>
      </c>
      <c r="F159" s="6" t="n">
        <v>0</v>
      </c>
      <c r="G159" s="6" t="n">
        <v>0</v>
      </c>
      <c r="H159" s="7">
        <f>IFERROR(D159/C159,0)</f>
        <v/>
      </c>
      <c r="I159" s="7">
        <f>IFERROR(E159/D159,0)</f>
        <v/>
      </c>
      <c r="J159" s="7">
        <f>IFERROR(F159/E159,0)</f>
        <v/>
      </c>
      <c r="K159" s="7">
        <f>IFERROR(G159/C159,0)</f>
        <v/>
      </c>
    </row>
    <row r="160">
      <c r="A160" s="2" t="inlineStr">
        <is>
          <t>2026-01-27</t>
        </is>
      </c>
      <c r="B160" s="2" t="inlineStr">
        <is>
          <t>Organic SEO</t>
        </is>
      </c>
      <c r="C160" s="3" t="n">
        <v>266</v>
      </c>
      <c r="D160" s="3" t="n">
        <v>27</v>
      </c>
      <c r="E160" s="3" t="n">
        <v>7</v>
      </c>
      <c r="F160" s="3" t="n">
        <v>2</v>
      </c>
      <c r="G160" s="3" t="n">
        <v>1</v>
      </c>
      <c r="H160" s="4">
        <f>IFERROR(D160/C160,0)</f>
        <v/>
      </c>
      <c r="I160" s="4">
        <f>IFERROR(E160/D160,0)</f>
        <v/>
      </c>
      <c r="J160" s="4">
        <f>IFERROR(F160/E160,0)</f>
        <v/>
      </c>
      <c r="K160" s="4">
        <f>IFERROR(G160/C160,0)</f>
        <v/>
      </c>
    </row>
    <row r="161">
      <c r="A161" s="5" t="inlineStr">
        <is>
          <t>2026-01-27</t>
        </is>
      </c>
      <c r="B161" s="5" t="inlineStr">
        <is>
          <t>Email</t>
        </is>
      </c>
      <c r="C161" s="6" t="n">
        <v>106</v>
      </c>
      <c r="D161" s="6" t="n">
        <v>14</v>
      </c>
      <c r="E161" s="6" t="n">
        <v>3</v>
      </c>
      <c r="F161" s="6" t="n">
        <v>1</v>
      </c>
      <c r="G161" s="6" t="n">
        <v>1</v>
      </c>
      <c r="H161" s="7">
        <f>IFERROR(D161/C161,0)</f>
        <v/>
      </c>
      <c r="I161" s="7">
        <f>IFERROR(E161/D161,0)</f>
        <v/>
      </c>
      <c r="J161" s="7">
        <f>IFERROR(F161/E161,0)</f>
        <v/>
      </c>
      <c r="K161" s="7">
        <f>IFERROR(G161/C161,0)</f>
        <v/>
      </c>
    </row>
    <row r="162">
      <c r="A162" s="2" t="inlineStr">
        <is>
          <t>2026-01-27</t>
        </is>
      </c>
      <c r="B162" s="2" t="inlineStr">
        <is>
          <t>Referral</t>
        </is>
      </c>
      <c r="C162" s="3" t="n">
        <v>71</v>
      </c>
      <c r="D162" s="3" t="n">
        <v>11</v>
      </c>
      <c r="E162" s="3" t="n">
        <v>2</v>
      </c>
      <c r="F162" s="3" t="n">
        <v>0</v>
      </c>
      <c r="G162" s="3" t="n">
        <v>1</v>
      </c>
      <c r="H162" s="4">
        <f>IFERROR(D162/C162,0)</f>
        <v/>
      </c>
      <c r="I162" s="4">
        <f>IFERROR(E162/D162,0)</f>
        <v/>
      </c>
      <c r="J162" s="4">
        <f>IFERROR(F162/E162,0)</f>
        <v/>
      </c>
      <c r="K162" s="4">
        <f>IFERROR(G162/C162,0)</f>
        <v/>
      </c>
    </row>
    <row r="163">
      <c r="A163" s="5" t="inlineStr">
        <is>
          <t>2026-01-27</t>
        </is>
      </c>
      <c r="B163" s="5" t="inlineStr">
        <is>
          <t>Direct</t>
        </is>
      </c>
      <c r="C163" s="6" t="n">
        <v>51</v>
      </c>
      <c r="D163" s="6" t="n">
        <v>3</v>
      </c>
      <c r="E163" s="6" t="n">
        <v>0</v>
      </c>
      <c r="F163" s="6" t="n">
        <v>0</v>
      </c>
      <c r="G163" s="6" t="n">
        <v>0</v>
      </c>
      <c r="H163" s="7">
        <f>IFERROR(D163/C163,0)</f>
        <v/>
      </c>
      <c r="I163" s="7">
        <f>IFERROR(E163/D163,0)</f>
        <v/>
      </c>
      <c r="J163" s="7">
        <f>IFERROR(F163/E163,0)</f>
        <v/>
      </c>
      <c r="K163" s="7">
        <f>IFERROR(G163/C163,0)</f>
        <v/>
      </c>
    </row>
    <row r="164">
      <c r="A164" s="2" t="inlineStr">
        <is>
          <t>2026-01-28</t>
        </is>
      </c>
      <c r="B164" s="2" t="inlineStr">
        <is>
          <t>Google Ads</t>
        </is>
      </c>
      <c r="C164" s="3" t="n">
        <v>176</v>
      </c>
      <c r="D164" s="3" t="n">
        <v>15</v>
      </c>
      <c r="E164" s="3" t="n">
        <v>4</v>
      </c>
      <c r="F164" s="3" t="n">
        <v>1</v>
      </c>
      <c r="G164" s="3" t="n">
        <v>0</v>
      </c>
      <c r="H164" s="4">
        <f>IFERROR(D164/C164,0)</f>
        <v/>
      </c>
      <c r="I164" s="4">
        <f>IFERROR(E164/D164,0)</f>
        <v/>
      </c>
      <c r="J164" s="4">
        <f>IFERROR(F164/E164,0)</f>
        <v/>
      </c>
      <c r="K164" s="4">
        <f>IFERROR(G164/C164,0)</f>
        <v/>
      </c>
    </row>
    <row r="165">
      <c r="A165" s="5" t="inlineStr">
        <is>
          <t>2026-01-28</t>
        </is>
      </c>
      <c r="B165" s="5" t="inlineStr">
        <is>
          <t>Facebook Ads</t>
        </is>
      </c>
      <c r="C165" s="6" t="n">
        <v>111</v>
      </c>
      <c r="D165" s="6" t="n">
        <v>3</v>
      </c>
      <c r="E165" s="6" t="n">
        <v>0</v>
      </c>
      <c r="F165" s="6" t="n">
        <v>0</v>
      </c>
      <c r="G165" s="6" t="n">
        <v>0</v>
      </c>
      <c r="H165" s="7">
        <f>IFERROR(D165/C165,0)</f>
        <v/>
      </c>
      <c r="I165" s="7">
        <f>IFERROR(E165/D165,0)</f>
        <v/>
      </c>
      <c r="J165" s="7">
        <f>IFERROR(F165/E165,0)</f>
        <v/>
      </c>
      <c r="K165" s="7">
        <f>IFERROR(G165/C165,0)</f>
        <v/>
      </c>
    </row>
    <row r="166">
      <c r="A166" s="2" t="inlineStr">
        <is>
          <t>2026-01-28</t>
        </is>
      </c>
      <c r="B166" s="2" t="inlineStr">
        <is>
          <t>Organic SEO</t>
        </is>
      </c>
      <c r="C166" s="3" t="n">
        <v>245</v>
      </c>
      <c r="D166" s="3" t="n">
        <v>25</v>
      </c>
      <c r="E166" s="3" t="n">
        <v>7</v>
      </c>
      <c r="F166" s="3" t="n">
        <v>2</v>
      </c>
      <c r="G166" s="3" t="n">
        <v>1</v>
      </c>
      <c r="H166" s="4">
        <f>IFERROR(D166/C166,0)</f>
        <v/>
      </c>
      <c r="I166" s="4">
        <f>IFERROR(E166/D166,0)</f>
        <v/>
      </c>
      <c r="J166" s="4">
        <f>IFERROR(F166/E166,0)</f>
        <v/>
      </c>
      <c r="K166" s="4">
        <f>IFERROR(G166/C166,0)</f>
        <v/>
      </c>
    </row>
    <row r="167">
      <c r="A167" s="5" t="inlineStr">
        <is>
          <t>2026-01-28</t>
        </is>
      </c>
      <c r="B167" s="5" t="inlineStr">
        <is>
          <t>Email</t>
        </is>
      </c>
      <c r="C167" s="6" t="n">
        <v>46</v>
      </c>
      <c r="D167" s="6" t="n">
        <v>5</v>
      </c>
      <c r="E167" s="6" t="n">
        <v>1</v>
      </c>
      <c r="F167" s="6" t="n">
        <v>0</v>
      </c>
      <c r="G167" s="6" t="n">
        <v>0</v>
      </c>
      <c r="H167" s="7">
        <f>IFERROR(D167/C167,0)</f>
        <v/>
      </c>
      <c r="I167" s="7">
        <f>IFERROR(E167/D167,0)</f>
        <v/>
      </c>
      <c r="J167" s="7">
        <f>IFERROR(F167/E167,0)</f>
        <v/>
      </c>
      <c r="K167" s="7">
        <f>IFERROR(G167/C167,0)</f>
        <v/>
      </c>
    </row>
    <row r="168">
      <c r="A168" s="2" t="inlineStr">
        <is>
          <t>2026-01-28</t>
        </is>
      </c>
      <c r="B168" s="2" t="inlineStr">
        <is>
          <t>Referral</t>
        </is>
      </c>
      <c r="C168" s="3" t="n">
        <v>87</v>
      </c>
      <c r="D168" s="3" t="n">
        <v>10</v>
      </c>
      <c r="E168" s="3" t="n">
        <v>2</v>
      </c>
      <c r="F168" s="3" t="n">
        <v>0</v>
      </c>
      <c r="G168" s="3" t="n">
        <v>1</v>
      </c>
      <c r="H168" s="4">
        <f>IFERROR(D168/C168,0)</f>
        <v/>
      </c>
      <c r="I168" s="4">
        <f>IFERROR(E168/D168,0)</f>
        <v/>
      </c>
      <c r="J168" s="4">
        <f>IFERROR(F168/E168,0)</f>
        <v/>
      </c>
      <c r="K168" s="4">
        <f>IFERROR(G168/C168,0)</f>
        <v/>
      </c>
    </row>
    <row r="169">
      <c r="A169" s="5" t="inlineStr">
        <is>
          <t>2026-01-28</t>
        </is>
      </c>
      <c r="B169" s="5" t="inlineStr">
        <is>
          <t>Direct</t>
        </is>
      </c>
      <c r="C169" s="6" t="n">
        <v>99</v>
      </c>
      <c r="D169" s="6" t="n">
        <v>6</v>
      </c>
      <c r="E169" s="6" t="n">
        <v>1</v>
      </c>
      <c r="F169" s="6" t="n">
        <v>0</v>
      </c>
      <c r="G169" s="6" t="n">
        <v>0</v>
      </c>
      <c r="H169" s="7">
        <f>IFERROR(D169/C169,0)</f>
        <v/>
      </c>
      <c r="I169" s="7">
        <f>IFERROR(E169/D169,0)</f>
        <v/>
      </c>
      <c r="J169" s="7">
        <f>IFERROR(F169/E169,0)</f>
        <v/>
      </c>
      <c r="K169" s="7">
        <f>IFERROR(G169/C169,0)</f>
        <v/>
      </c>
    </row>
    <row r="170">
      <c r="A170" s="2" t="inlineStr">
        <is>
          <t>2026-01-29</t>
        </is>
      </c>
      <c r="B170" s="2" t="inlineStr">
        <is>
          <t>Google Ads</t>
        </is>
      </c>
      <c r="C170" s="3" t="n">
        <v>230</v>
      </c>
      <c r="D170" s="3" t="n">
        <v>15</v>
      </c>
      <c r="E170" s="3" t="n">
        <v>3</v>
      </c>
      <c r="F170" s="3" t="n">
        <v>1</v>
      </c>
      <c r="G170" s="3" t="n">
        <v>0</v>
      </c>
      <c r="H170" s="4">
        <f>IFERROR(D170/C170,0)</f>
        <v/>
      </c>
      <c r="I170" s="4">
        <f>IFERROR(E170/D170,0)</f>
        <v/>
      </c>
      <c r="J170" s="4">
        <f>IFERROR(F170/E170,0)</f>
        <v/>
      </c>
      <c r="K170" s="4">
        <f>IFERROR(G170/C170,0)</f>
        <v/>
      </c>
    </row>
    <row r="171">
      <c r="A171" s="5" t="inlineStr">
        <is>
          <t>2026-01-29</t>
        </is>
      </c>
      <c r="B171" s="5" t="inlineStr">
        <is>
          <t>Facebook Ads</t>
        </is>
      </c>
      <c r="C171" s="6" t="n">
        <v>114</v>
      </c>
      <c r="D171" s="6" t="n">
        <v>3</v>
      </c>
      <c r="E171" s="6" t="n">
        <v>0</v>
      </c>
      <c r="F171" s="6" t="n">
        <v>0</v>
      </c>
      <c r="G171" s="6" t="n">
        <v>0</v>
      </c>
      <c r="H171" s="7">
        <f>IFERROR(D171/C171,0)</f>
        <v/>
      </c>
      <c r="I171" s="7">
        <f>IFERROR(E171/D171,0)</f>
        <v/>
      </c>
      <c r="J171" s="7">
        <f>IFERROR(F171/E171,0)</f>
        <v/>
      </c>
      <c r="K171" s="7">
        <f>IFERROR(G171/C171,0)</f>
        <v/>
      </c>
    </row>
    <row r="172">
      <c r="A172" s="2" t="inlineStr">
        <is>
          <t>2026-01-29</t>
        </is>
      </c>
      <c r="B172" s="2" t="inlineStr">
        <is>
          <t>Organic SEO</t>
        </is>
      </c>
      <c r="C172" s="3" t="n">
        <v>271</v>
      </c>
      <c r="D172" s="3" t="n">
        <v>22</v>
      </c>
      <c r="E172" s="3" t="n">
        <v>5</v>
      </c>
      <c r="F172" s="3" t="n">
        <v>1</v>
      </c>
      <c r="G172" s="3" t="n">
        <v>1</v>
      </c>
      <c r="H172" s="4">
        <f>IFERROR(D172/C172,0)</f>
        <v/>
      </c>
      <c r="I172" s="4">
        <f>IFERROR(E172/D172,0)</f>
        <v/>
      </c>
      <c r="J172" s="4">
        <f>IFERROR(F172/E172,0)</f>
        <v/>
      </c>
      <c r="K172" s="4">
        <f>IFERROR(G172/C172,0)</f>
        <v/>
      </c>
    </row>
    <row r="173">
      <c r="A173" s="5" t="inlineStr">
        <is>
          <t>2026-01-29</t>
        </is>
      </c>
      <c r="B173" s="5" t="inlineStr">
        <is>
          <t>Email</t>
        </is>
      </c>
      <c r="C173" s="6" t="n">
        <v>100</v>
      </c>
      <c r="D173" s="6" t="n">
        <v>11</v>
      </c>
      <c r="E173" s="6" t="n">
        <v>2</v>
      </c>
      <c r="F173" s="6" t="n">
        <v>0</v>
      </c>
      <c r="G173" s="6" t="n">
        <v>1</v>
      </c>
      <c r="H173" s="7">
        <f>IFERROR(D173/C173,0)</f>
        <v/>
      </c>
      <c r="I173" s="7">
        <f>IFERROR(E173/D173,0)</f>
        <v/>
      </c>
      <c r="J173" s="7">
        <f>IFERROR(F173/E173,0)</f>
        <v/>
      </c>
      <c r="K173" s="7">
        <f>IFERROR(G173/C173,0)</f>
        <v/>
      </c>
    </row>
    <row r="174">
      <c r="A174" s="2" t="inlineStr">
        <is>
          <t>2026-01-29</t>
        </is>
      </c>
      <c r="B174" s="2" t="inlineStr">
        <is>
          <t>Referral</t>
        </is>
      </c>
      <c r="C174" s="3" t="n">
        <v>55</v>
      </c>
      <c r="D174" s="3" t="n">
        <v>9</v>
      </c>
      <c r="E174" s="3" t="n">
        <v>2</v>
      </c>
      <c r="F174" s="3" t="n">
        <v>0</v>
      </c>
      <c r="G174" s="3" t="n">
        <v>0</v>
      </c>
      <c r="H174" s="4">
        <f>IFERROR(D174/C174,0)</f>
        <v/>
      </c>
      <c r="I174" s="4">
        <f>IFERROR(E174/D174,0)</f>
        <v/>
      </c>
      <c r="J174" s="4">
        <f>IFERROR(F174/E174,0)</f>
        <v/>
      </c>
      <c r="K174" s="4">
        <f>IFERROR(G174/C174,0)</f>
        <v/>
      </c>
    </row>
    <row r="175">
      <c r="A175" s="5" t="inlineStr">
        <is>
          <t>2026-01-29</t>
        </is>
      </c>
      <c r="B175" s="5" t="inlineStr">
        <is>
          <t>Direct</t>
        </is>
      </c>
      <c r="C175" s="6" t="n">
        <v>63</v>
      </c>
      <c r="D175" s="6" t="n">
        <v>4</v>
      </c>
      <c r="E175" s="6" t="n">
        <v>0</v>
      </c>
      <c r="F175" s="6" t="n">
        <v>0</v>
      </c>
      <c r="G175" s="6" t="n">
        <v>0</v>
      </c>
      <c r="H175" s="7">
        <f>IFERROR(D175/C175,0)</f>
        <v/>
      </c>
      <c r="I175" s="7">
        <f>IFERROR(E175/D175,0)</f>
        <v/>
      </c>
      <c r="J175" s="7">
        <f>IFERROR(F175/E175,0)</f>
        <v/>
      </c>
      <c r="K175" s="7">
        <f>IFERROR(G175/C175,0)</f>
        <v/>
      </c>
    </row>
    <row r="176">
      <c r="A176" s="2" t="inlineStr">
        <is>
          <t>2026-01-30</t>
        </is>
      </c>
      <c r="B176" s="2" t="inlineStr">
        <is>
          <t>Google Ads</t>
        </is>
      </c>
      <c r="C176" s="3" t="n">
        <v>232</v>
      </c>
      <c r="D176" s="3" t="n">
        <v>16</v>
      </c>
      <c r="E176" s="3" t="n">
        <v>4</v>
      </c>
      <c r="F176" s="3" t="n">
        <v>1</v>
      </c>
      <c r="G176" s="3" t="n">
        <v>1</v>
      </c>
      <c r="H176" s="4">
        <f>IFERROR(D176/C176,0)</f>
        <v/>
      </c>
      <c r="I176" s="4">
        <f>IFERROR(E176/D176,0)</f>
        <v/>
      </c>
      <c r="J176" s="4">
        <f>IFERROR(F176/E176,0)</f>
        <v/>
      </c>
      <c r="K176" s="4">
        <f>IFERROR(G176/C176,0)</f>
        <v/>
      </c>
    </row>
    <row r="177">
      <c r="A177" s="5" t="inlineStr">
        <is>
          <t>2026-01-30</t>
        </is>
      </c>
      <c r="B177" s="5" t="inlineStr">
        <is>
          <t>Facebook Ads</t>
        </is>
      </c>
      <c r="C177" s="6" t="n">
        <v>119</v>
      </c>
      <c r="D177" s="6" t="n">
        <v>3</v>
      </c>
      <c r="E177" s="6" t="n">
        <v>0</v>
      </c>
      <c r="F177" s="6" t="n">
        <v>0</v>
      </c>
      <c r="G177" s="6" t="n">
        <v>0</v>
      </c>
      <c r="H177" s="7">
        <f>IFERROR(D177/C177,0)</f>
        <v/>
      </c>
      <c r="I177" s="7">
        <f>IFERROR(E177/D177,0)</f>
        <v/>
      </c>
      <c r="J177" s="7">
        <f>IFERROR(F177/E177,0)</f>
        <v/>
      </c>
      <c r="K177" s="7">
        <f>IFERROR(G177/C177,0)</f>
        <v/>
      </c>
    </row>
    <row r="178">
      <c r="A178" s="2" t="inlineStr">
        <is>
          <t>2026-01-30</t>
        </is>
      </c>
      <c r="B178" s="2" t="inlineStr">
        <is>
          <t>Organic SEO</t>
        </is>
      </c>
      <c r="C178" s="3" t="n">
        <v>228</v>
      </c>
      <c r="D178" s="3" t="n">
        <v>20</v>
      </c>
      <c r="E178" s="3" t="n">
        <v>4</v>
      </c>
      <c r="F178" s="3" t="n">
        <v>1</v>
      </c>
      <c r="G178" s="3" t="n">
        <v>1</v>
      </c>
      <c r="H178" s="4">
        <f>IFERROR(D178/C178,0)</f>
        <v/>
      </c>
      <c r="I178" s="4">
        <f>IFERROR(E178/D178,0)</f>
        <v/>
      </c>
      <c r="J178" s="4">
        <f>IFERROR(F178/E178,0)</f>
        <v/>
      </c>
      <c r="K178" s="4">
        <f>IFERROR(G178/C178,0)</f>
        <v/>
      </c>
    </row>
    <row r="179">
      <c r="A179" s="5" t="inlineStr">
        <is>
          <t>2026-01-30</t>
        </is>
      </c>
      <c r="B179" s="5" t="inlineStr">
        <is>
          <t>Email</t>
        </is>
      </c>
      <c r="C179" s="6" t="n">
        <v>113</v>
      </c>
      <c r="D179" s="6" t="n">
        <v>13</v>
      </c>
      <c r="E179" s="6" t="n">
        <v>3</v>
      </c>
      <c r="F179" s="6" t="n">
        <v>1</v>
      </c>
      <c r="G179" s="6" t="n">
        <v>1</v>
      </c>
      <c r="H179" s="7">
        <f>IFERROR(D179/C179,0)</f>
        <v/>
      </c>
      <c r="I179" s="7">
        <f>IFERROR(E179/D179,0)</f>
        <v/>
      </c>
      <c r="J179" s="7">
        <f>IFERROR(F179/E179,0)</f>
        <v/>
      </c>
      <c r="K179" s="7">
        <f>IFERROR(G179/C179,0)</f>
        <v/>
      </c>
    </row>
    <row r="180">
      <c r="A180" s="2" t="inlineStr">
        <is>
          <t>2026-01-30</t>
        </is>
      </c>
      <c r="B180" s="2" t="inlineStr">
        <is>
          <t>Referral</t>
        </is>
      </c>
      <c r="C180" s="3" t="n">
        <v>50</v>
      </c>
      <c r="D180" s="3" t="n">
        <v>8</v>
      </c>
      <c r="E180" s="3" t="n">
        <v>2</v>
      </c>
      <c r="F180" s="3" t="n">
        <v>0</v>
      </c>
      <c r="G180" s="3" t="n">
        <v>1</v>
      </c>
      <c r="H180" s="4">
        <f>IFERROR(D180/C180,0)</f>
        <v/>
      </c>
      <c r="I180" s="4">
        <f>IFERROR(E180/D180,0)</f>
        <v/>
      </c>
      <c r="J180" s="4">
        <f>IFERROR(F180/E180,0)</f>
        <v/>
      </c>
      <c r="K180" s="4">
        <f>IFERROR(G180/C180,0)</f>
        <v/>
      </c>
    </row>
    <row r="181">
      <c r="A181" s="5" t="inlineStr">
        <is>
          <t>2026-01-30</t>
        </is>
      </c>
      <c r="B181" s="5" t="inlineStr">
        <is>
          <t>Direct</t>
        </is>
      </c>
      <c r="C181" s="6" t="n">
        <v>93</v>
      </c>
      <c r="D181" s="6" t="n">
        <v>8</v>
      </c>
      <c r="E181" s="6" t="n">
        <v>1</v>
      </c>
      <c r="F181" s="6" t="n">
        <v>0</v>
      </c>
      <c r="G181" s="6" t="n">
        <v>0</v>
      </c>
      <c r="H181" s="7">
        <f>IFERROR(D181/C181,0)</f>
        <v/>
      </c>
      <c r="I181" s="7">
        <f>IFERROR(E181/D181,0)</f>
        <v/>
      </c>
      <c r="J181" s="7">
        <f>IFERROR(F181/E181,0)</f>
        <v/>
      </c>
      <c r="K181" s="7">
        <f>IFERROR(G181/C181,0)</f>
        <v/>
      </c>
    </row>
    <row r="182">
      <c r="A182" s="2" t="inlineStr">
        <is>
          <t>2026-01-31</t>
        </is>
      </c>
      <c r="B182" s="2" t="inlineStr">
        <is>
          <t>Google Ads</t>
        </is>
      </c>
      <c r="C182" s="3" t="n">
        <v>215</v>
      </c>
      <c r="D182" s="3" t="n">
        <v>15</v>
      </c>
      <c r="E182" s="3" t="n">
        <v>4</v>
      </c>
      <c r="F182" s="3" t="n">
        <v>1</v>
      </c>
      <c r="G182" s="3" t="n">
        <v>0</v>
      </c>
      <c r="H182" s="4">
        <f>IFERROR(D182/C182,0)</f>
        <v/>
      </c>
      <c r="I182" s="4">
        <f>IFERROR(E182/D182,0)</f>
        <v/>
      </c>
      <c r="J182" s="4">
        <f>IFERROR(F182/E182,0)</f>
        <v/>
      </c>
      <c r="K182" s="4">
        <f>IFERROR(G182/C182,0)</f>
        <v/>
      </c>
    </row>
    <row r="183">
      <c r="A183" s="5" t="inlineStr">
        <is>
          <t>2026-01-31</t>
        </is>
      </c>
      <c r="B183" s="5" t="inlineStr">
        <is>
          <t>Facebook Ads</t>
        </is>
      </c>
      <c r="C183" s="6" t="n">
        <v>158</v>
      </c>
      <c r="D183" s="6" t="n">
        <v>3</v>
      </c>
      <c r="E183" s="6" t="n">
        <v>0</v>
      </c>
      <c r="F183" s="6" t="n">
        <v>0</v>
      </c>
      <c r="G183" s="6" t="n">
        <v>0</v>
      </c>
      <c r="H183" s="7">
        <f>IFERROR(D183/C183,0)</f>
        <v/>
      </c>
      <c r="I183" s="7">
        <f>IFERROR(E183/D183,0)</f>
        <v/>
      </c>
      <c r="J183" s="7">
        <f>IFERROR(F183/E183,0)</f>
        <v/>
      </c>
      <c r="K183" s="7">
        <f>IFERROR(G183/C183,0)</f>
        <v/>
      </c>
    </row>
    <row r="184">
      <c r="A184" s="2" t="inlineStr">
        <is>
          <t>2026-01-31</t>
        </is>
      </c>
      <c r="B184" s="2" t="inlineStr">
        <is>
          <t>Organic SEO</t>
        </is>
      </c>
      <c r="C184" s="3" t="n">
        <v>189</v>
      </c>
      <c r="D184" s="3" t="n">
        <v>16</v>
      </c>
      <c r="E184" s="3" t="n">
        <v>3</v>
      </c>
      <c r="F184" s="3" t="n">
        <v>1</v>
      </c>
      <c r="G184" s="3" t="n">
        <v>1</v>
      </c>
      <c r="H184" s="4">
        <f>IFERROR(D184/C184,0)</f>
        <v/>
      </c>
      <c r="I184" s="4">
        <f>IFERROR(E184/D184,0)</f>
        <v/>
      </c>
      <c r="J184" s="4">
        <f>IFERROR(F184/E184,0)</f>
        <v/>
      </c>
      <c r="K184" s="4">
        <f>IFERROR(G184/C184,0)</f>
        <v/>
      </c>
    </row>
    <row r="185">
      <c r="A185" s="5" t="inlineStr">
        <is>
          <t>2026-01-31</t>
        </is>
      </c>
      <c r="B185" s="5" t="inlineStr">
        <is>
          <t>Email</t>
        </is>
      </c>
      <c r="C185" s="6" t="n">
        <v>123</v>
      </c>
      <c r="D185" s="6" t="n">
        <v>12</v>
      </c>
      <c r="E185" s="6" t="n">
        <v>3</v>
      </c>
      <c r="F185" s="6" t="n">
        <v>1</v>
      </c>
      <c r="G185" s="6" t="n">
        <v>1</v>
      </c>
      <c r="H185" s="7">
        <f>IFERROR(D185/C185,0)</f>
        <v/>
      </c>
      <c r="I185" s="7">
        <f>IFERROR(E185/D185,0)</f>
        <v/>
      </c>
      <c r="J185" s="7">
        <f>IFERROR(F185/E185,0)</f>
        <v/>
      </c>
      <c r="K185" s="7">
        <f>IFERROR(G185/C185,0)</f>
        <v/>
      </c>
    </row>
    <row r="186">
      <c r="A186" s="2" t="inlineStr">
        <is>
          <t>2026-01-31</t>
        </is>
      </c>
      <c r="B186" s="2" t="inlineStr">
        <is>
          <t>Referral</t>
        </is>
      </c>
      <c r="C186" s="3" t="n">
        <v>30</v>
      </c>
      <c r="D186" s="3" t="n">
        <v>4</v>
      </c>
      <c r="E186" s="3" t="n">
        <v>1</v>
      </c>
      <c r="F186" s="3" t="n">
        <v>0</v>
      </c>
      <c r="G186" s="3" t="n">
        <v>0</v>
      </c>
      <c r="H186" s="4">
        <f>IFERROR(D186/C186,0)</f>
        <v/>
      </c>
      <c r="I186" s="4">
        <f>IFERROR(E186/D186,0)</f>
        <v/>
      </c>
      <c r="J186" s="4">
        <f>IFERROR(F186/E186,0)</f>
        <v/>
      </c>
      <c r="K186" s="4">
        <f>IFERROR(G186/C186,0)</f>
        <v/>
      </c>
    </row>
    <row r="187">
      <c r="A187" s="5" t="inlineStr">
        <is>
          <t>2026-01-31</t>
        </is>
      </c>
      <c r="B187" s="5" t="inlineStr">
        <is>
          <t>Direct</t>
        </is>
      </c>
      <c r="C187" s="6" t="n">
        <v>89</v>
      </c>
      <c r="D187" s="6" t="n">
        <v>4</v>
      </c>
      <c r="E187" s="6" t="n">
        <v>1</v>
      </c>
      <c r="F187" s="6" t="n">
        <v>0</v>
      </c>
      <c r="G187" s="6" t="n">
        <v>0</v>
      </c>
      <c r="H187" s="7">
        <f>IFERROR(D187/C187,0)</f>
        <v/>
      </c>
      <c r="I187" s="7">
        <f>IFERROR(E187/D187,0)</f>
        <v/>
      </c>
      <c r="J187" s="7">
        <f>IFERROR(F187/E187,0)</f>
        <v/>
      </c>
      <c r="K187" s="7">
        <f>IFERROR(G187/C187,0)</f>
        <v/>
      </c>
    </row>
    <row r="188">
      <c r="A188" s="2" t="inlineStr">
        <is>
          <t>2026-02-01</t>
        </is>
      </c>
      <c r="B188" s="2" t="inlineStr">
        <is>
          <t>Google Ads</t>
        </is>
      </c>
      <c r="C188" s="3" t="n">
        <v>235</v>
      </c>
      <c r="D188" s="3" t="n">
        <v>14</v>
      </c>
      <c r="E188" s="3" t="n">
        <v>3</v>
      </c>
      <c r="F188" s="3" t="n">
        <v>1</v>
      </c>
      <c r="G188" s="3" t="n">
        <v>1</v>
      </c>
      <c r="H188" s="4">
        <f>IFERROR(D188/C188,0)</f>
        <v/>
      </c>
      <c r="I188" s="4">
        <f>IFERROR(E188/D188,0)</f>
        <v/>
      </c>
      <c r="J188" s="4">
        <f>IFERROR(F188/E188,0)</f>
        <v/>
      </c>
      <c r="K188" s="4">
        <f>IFERROR(G188/C188,0)</f>
        <v/>
      </c>
    </row>
    <row r="189">
      <c r="A189" s="5" t="inlineStr">
        <is>
          <t>2026-02-01</t>
        </is>
      </c>
      <c r="B189" s="5" t="inlineStr">
        <is>
          <t>Facebook Ads</t>
        </is>
      </c>
      <c r="C189" s="6" t="n">
        <v>112</v>
      </c>
      <c r="D189" s="6" t="n">
        <v>3</v>
      </c>
      <c r="E189" s="6" t="n">
        <v>0</v>
      </c>
      <c r="F189" s="6" t="n">
        <v>0</v>
      </c>
      <c r="G189" s="6" t="n">
        <v>0</v>
      </c>
      <c r="H189" s="7">
        <f>IFERROR(D189/C189,0)</f>
        <v/>
      </c>
      <c r="I189" s="7">
        <f>IFERROR(E189/D189,0)</f>
        <v/>
      </c>
      <c r="J189" s="7">
        <f>IFERROR(F189/E189,0)</f>
        <v/>
      </c>
      <c r="K189" s="7">
        <f>IFERROR(G189/C189,0)</f>
        <v/>
      </c>
    </row>
    <row r="190">
      <c r="A190" s="2" t="inlineStr">
        <is>
          <t>2026-02-01</t>
        </is>
      </c>
      <c r="B190" s="2" t="inlineStr">
        <is>
          <t>Organic SEO</t>
        </is>
      </c>
      <c r="C190" s="3" t="n">
        <v>187</v>
      </c>
      <c r="D190" s="3" t="n">
        <v>15</v>
      </c>
      <c r="E190" s="3" t="n">
        <v>3</v>
      </c>
      <c r="F190" s="3" t="n">
        <v>1</v>
      </c>
      <c r="G190" s="3" t="n">
        <v>0</v>
      </c>
      <c r="H190" s="4">
        <f>IFERROR(D190/C190,0)</f>
        <v/>
      </c>
      <c r="I190" s="4">
        <f>IFERROR(E190/D190,0)</f>
        <v/>
      </c>
      <c r="J190" s="4">
        <f>IFERROR(F190/E190,0)</f>
        <v/>
      </c>
      <c r="K190" s="4">
        <f>IFERROR(G190/C190,0)</f>
        <v/>
      </c>
    </row>
    <row r="191">
      <c r="A191" s="5" t="inlineStr">
        <is>
          <t>2026-02-01</t>
        </is>
      </c>
      <c r="B191" s="5" t="inlineStr">
        <is>
          <t>Email</t>
        </is>
      </c>
      <c r="C191" s="6" t="n">
        <v>112</v>
      </c>
      <c r="D191" s="6" t="n">
        <v>15</v>
      </c>
      <c r="E191" s="6" t="n">
        <v>3</v>
      </c>
      <c r="F191" s="6" t="n">
        <v>1</v>
      </c>
      <c r="G191" s="6" t="n">
        <v>1</v>
      </c>
      <c r="H191" s="7">
        <f>IFERROR(D191/C191,0)</f>
        <v/>
      </c>
      <c r="I191" s="7">
        <f>IFERROR(E191/D191,0)</f>
        <v/>
      </c>
      <c r="J191" s="7">
        <f>IFERROR(F191/E191,0)</f>
        <v/>
      </c>
      <c r="K191" s="7">
        <f>IFERROR(G191/C191,0)</f>
        <v/>
      </c>
    </row>
    <row r="192">
      <c r="A192" s="2" t="inlineStr">
        <is>
          <t>2026-02-01</t>
        </is>
      </c>
      <c r="B192" s="2" t="inlineStr">
        <is>
          <t>Referral</t>
        </is>
      </c>
      <c r="C192" s="3" t="n">
        <v>38</v>
      </c>
      <c r="D192" s="3" t="n">
        <v>5</v>
      </c>
      <c r="E192" s="3" t="n">
        <v>1</v>
      </c>
      <c r="F192" s="3" t="n">
        <v>0</v>
      </c>
      <c r="G192" s="3" t="n">
        <v>0</v>
      </c>
      <c r="H192" s="4">
        <f>IFERROR(D192/C192,0)</f>
        <v/>
      </c>
      <c r="I192" s="4">
        <f>IFERROR(E192/D192,0)</f>
        <v/>
      </c>
      <c r="J192" s="4">
        <f>IFERROR(F192/E192,0)</f>
        <v/>
      </c>
      <c r="K192" s="4">
        <f>IFERROR(G192/C192,0)</f>
        <v/>
      </c>
    </row>
    <row r="193">
      <c r="A193" s="5" t="inlineStr">
        <is>
          <t>2026-02-01</t>
        </is>
      </c>
      <c r="B193" s="5" t="inlineStr">
        <is>
          <t>Direct</t>
        </is>
      </c>
      <c r="C193" s="6" t="n">
        <v>69</v>
      </c>
      <c r="D193" s="6" t="n">
        <v>5</v>
      </c>
      <c r="E193" s="6" t="n">
        <v>1</v>
      </c>
      <c r="F193" s="6" t="n">
        <v>0</v>
      </c>
      <c r="G193" s="6" t="n">
        <v>0</v>
      </c>
      <c r="H193" s="7">
        <f>IFERROR(D193/C193,0)</f>
        <v/>
      </c>
      <c r="I193" s="7">
        <f>IFERROR(E193/D193,0)</f>
        <v/>
      </c>
      <c r="J193" s="7">
        <f>IFERROR(F193/E193,0)</f>
        <v/>
      </c>
      <c r="K193" s="7">
        <f>IFERROR(G193/C193,0)</f>
        <v/>
      </c>
    </row>
    <row r="194">
      <c r="A194" s="2" t="inlineStr">
        <is>
          <t>2026-02-02</t>
        </is>
      </c>
      <c r="B194" s="2" t="inlineStr">
        <is>
          <t>Google Ads</t>
        </is>
      </c>
      <c r="C194" s="3" t="n">
        <v>199</v>
      </c>
      <c r="D194" s="3" t="n">
        <v>19</v>
      </c>
      <c r="E194" s="3" t="n">
        <v>4</v>
      </c>
      <c r="F194" s="3" t="n">
        <v>1</v>
      </c>
      <c r="G194" s="3" t="n">
        <v>1</v>
      </c>
      <c r="H194" s="4">
        <f>IFERROR(D194/C194,0)</f>
        <v/>
      </c>
      <c r="I194" s="4">
        <f>IFERROR(E194/D194,0)</f>
        <v/>
      </c>
      <c r="J194" s="4">
        <f>IFERROR(F194/E194,0)</f>
        <v/>
      </c>
      <c r="K194" s="4">
        <f>IFERROR(G194/C194,0)</f>
        <v/>
      </c>
    </row>
    <row r="195">
      <c r="A195" s="5" t="inlineStr">
        <is>
          <t>2026-02-02</t>
        </is>
      </c>
      <c r="B195" s="5" t="inlineStr">
        <is>
          <t>Facebook Ads</t>
        </is>
      </c>
      <c r="C195" s="6" t="n">
        <v>144</v>
      </c>
      <c r="D195" s="6" t="n">
        <v>7</v>
      </c>
      <c r="E195" s="6" t="n">
        <v>2</v>
      </c>
      <c r="F195" s="6" t="n">
        <v>0</v>
      </c>
      <c r="G195" s="6" t="n">
        <v>0</v>
      </c>
      <c r="H195" s="7">
        <f>IFERROR(D195/C195,0)</f>
        <v/>
      </c>
      <c r="I195" s="7">
        <f>IFERROR(E195/D195,0)</f>
        <v/>
      </c>
      <c r="J195" s="7">
        <f>IFERROR(F195/E195,0)</f>
        <v/>
      </c>
      <c r="K195" s="7">
        <f>IFERROR(G195/C195,0)</f>
        <v/>
      </c>
    </row>
    <row r="196">
      <c r="A196" s="2" t="inlineStr">
        <is>
          <t>2026-02-02</t>
        </is>
      </c>
      <c r="B196" s="2" t="inlineStr">
        <is>
          <t>Organic SEO</t>
        </is>
      </c>
      <c r="C196" s="3" t="n">
        <v>238</v>
      </c>
      <c r="D196" s="3" t="n">
        <v>24</v>
      </c>
      <c r="E196" s="3" t="n">
        <v>6</v>
      </c>
      <c r="F196" s="3" t="n">
        <v>2</v>
      </c>
      <c r="G196" s="3" t="n">
        <v>1</v>
      </c>
      <c r="H196" s="4">
        <f>IFERROR(D196/C196,0)</f>
        <v/>
      </c>
      <c r="I196" s="4">
        <f>IFERROR(E196/D196,0)</f>
        <v/>
      </c>
      <c r="J196" s="4">
        <f>IFERROR(F196/E196,0)</f>
        <v/>
      </c>
      <c r="K196" s="4">
        <f>IFERROR(G196/C196,0)</f>
        <v/>
      </c>
    </row>
    <row r="197">
      <c r="A197" s="5" t="inlineStr">
        <is>
          <t>2026-02-02</t>
        </is>
      </c>
      <c r="B197" s="5" t="inlineStr">
        <is>
          <t>Email</t>
        </is>
      </c>
      <c r="C197" s="6" t="n">
        <v>70</v>
      </c>
      <c r="D197" s="6" t="n">
        <v>8</v>
      </c>
      <c r="E197" s="6" t="n">
        <v>1</v>
      </c>
      <c r="F197" s="6" t="n">
        <v>0</v>
      </c>
      <c r="G197" s="6" t="n">
        <v>0</v>
      </c>
      <c r="H197" s="7">
        <f>IFERROR(D197/C197,0)</f>
        <v/>
      </c>
      <c r="I197" s="7">
        <f>IFERROR(E197/D197,0)</f>
        <v/>
      </c>
      <c r="J197" s="7">
        <f>IFERROR(F197/E197,0)</f>
        <v/>
      </c>
      <c r="K197" s="7">
        <f>IFERROR(G197/C197,0)</f>
        <v/>
      </c>
    </row>
    <row r="198">
      <c r="A198" s="2" t="inlineStr">
        <is>
          <t>2026-02-02</t>
        </is>
      </c>
      <c r="B198" s="2" t="inlineStr">
        <is>
          <t>Referral</t>
        </is>
      </c>
      <c r="C198" s="3" t="n">
        <v>10</v>
      </c>
      <c r="D198" s="3" t="n">
        <v>1</v>
      </c>
      <c r="E198" s="3" t="n">
        <v>0</v>
      </c>
      <c r="F198" s="3" t="n">
        <v>0</v>
      </c>
      <c r="G198" s="3" t="n">
        <v>0</v>
      </c>
      <c r="H198" s="4">
        <f>IFERROR(D198/C198,0)</f>
        <v/>
      </c>
      <c r="I198" s="4">
        <f>IFERROR(E198/D198,0)</f>
        <v/>
      </c>
      <c r="J198" s="4">
        <f>IFERROR(F198/E198,0)</f>
        <v/>
      </c>
      <c r="K198" s="4">
        <f>IFERROR(G198/C198,0)</f>
        <v/>
      </c>
    </row>
    <row r="199">
      <c r="A199" s="5" t="inlineStr">
        <is>
          <t>2026-02-02</t>
        </is>
      </c>
      <c r="B199" s="5" t="inlineStr">
        <is>
          <t>Direct</t>
        </is>
      </c>
      <c r="C199" s="6" t="n">
        <v>97</v>
      </c>
      <c r="D199" s="6" t="n">
        <v>7</v>
      </c>
      <c r="E199" s="6" t="n">
        <v>2</v>
      </c>
      <c r="F199" s="6" t="n">
        <v>0</v>
      </c>
      <c r="G199" s="6" t="n">
        <v>0</v>
      </c>
      <c r="H199" s="7">
        <f>IFERROR(D199/C199,0)</f>
        <v/>
      </c>
      <c r="I199" s="7">
        <f>IFERROR(E199/D199,0)</f>
        <v/>
      </c>
      <c r="J199" s="7">
        <f>IFERROR(F199/E199,0)</f>
        <v/>
      </c>
      <c r="K199" s="7">
        <f>IFERROR(G199/C199,0)</f>
        <v/>
      </c>
    </row>
    <row r="200">
      <c r="A200" s="2" t="inlineStr">
        <is>
          <t>2026-02-03</t>
        </is>
      </c>
      <c r="B200" s="2" t="inlineStr">
        <is>
          <t>Google Ads</t>
        </is>
      </c>
      <c r="C200" s="3" t="n">
        <v>176</v>
      </c>
      <c r="D200" s="3" t="n">
        <v>16</v>
      </c>
      <c r="E200" s="3" t="n">
        <v>4</v>
      </c>
      <c r="F200" s="3" t="n">
        <v>1</v>
      </c>
      <c r="G200" s="3" t="n">
        <v>0</v>
      </c>
      <c r="H200" s="4">
        <f>IFERROR(D200/C200,0)</f>
        <v/>
      </c>
      <c r="I200" s="4">
        <f>IFERROR(E200/D200,0)</f>
        <v/>
      </c>
      <c r="J200" s="4">
        <f>IFERROR(F200/E200,0)</f>
        <v/>
      </c>
      <c r="K200" s="4">
        <f>IFERROR(G200/C200,0)</f>
        <v/>
      </c>
    </row>
    <row r="201">
      <c r="A201" s="5" t="inlineStr">
        <is>
          <t>2026-02-03</t>
        </is>
      </c>
      <c r="B201" s="5" t="inlineStr">
        <is>
          <t>Facebook Ads</t>
        </is>
      </c>
      <c r="C201" s="6" t="n">
        <v>124</v>
      </c>
      <c r="D201" s="6" t="n">
        <v>4</v>
      </c>
      <c r="E201" s="6" t="n">
        <v>1</v>
      </c>
      <c r="F201" s="6" t="n">
        <v>0</v>
      </c>
      <c r="G201" s="6" t="n">
        <v>0</v>
      </c>
      <c r="H201" s="7">
        <f>IFERROR(D201/C201,0)</f>
        <v/>
      </c>
      <c r="I201" s="7">
        <f>IFERROR(E201/D201,0)</f>
        <v/>
      </c>
      <c r="J201" s="7">
        <f>IFERROR(F201/E201,0)</f>
        <v/>
      </c>
      <c r="K201" s="7">
        <f>IFERROR(G201/C201,0)</f>
        <v/>
      </c>
    </row>
    <row r="202">
      <c r="A202" s="2" t="inlineStr">
        <is>
          <t>2026-02-03</t>
        </is>
      </c>
      <c r="B202" s="2" t="inlineStr">
        <is>
          <t>Organic SEO</t>
        </is>
      </c>
      <c r="C202" s="3" t="n">
        <v>197</v>
      </c>
      <c r="D202" s="3" t="n">
        <v>18</v>
      </c>
      <c r="E202" s="3" t="n">
        <v>4</v>
      </c>
      <c r="F202" s="3" t="n">
        <v>1</v>
      </c>
      <c r="G202" s="3" t="n">
        <v>1</v>
      </c>
      <c r="H202" s="4">
        <f>IFERROR(D202/C202,0)</f>
        <v/>
      </c>
      <c r="I202" s="4">
        <f>IFERROR(E202/D202,0)</f>
        <v/>
      </c>
      <c r="J202" s="4">
        <f>IFERROR(F202/E202,0)</f>
        <v/>
      </c>
      <c r="K202" s="4">
        <f>IFERROR(G202/C202,0)</f>
        <v/>
      </c>
    </row>
    <row r="203">
      <c r="A203" s="5" t="inlineStr">
        <is>
          <t>2026-02-03</t>
        </is>
      </c>
      <c r="B203" s="5" t="inlineStr">
        <is>
          <t>Email</t>
        </is>
      </c>
      <c r="C203" s="6" t="n">
        <v>96</v>
      </c>
      <c r="D203" s="6" t="n">
        <v>9</v>
      </c>
      <c r="E203" s="6" t="n">
        <v>2</v>
      </c>
      <c r="F203" s="6" t="n">
        <v>0</v>
      </c>
      <c r="G203" s="6" t="n">
        <v>0</v>
      </c>
      <c r="H203" s="7">
        <f>IFERROR(D203/C203,0)</f>
        <v/>
      </c>
      <c r="I203" s="7">
        <f>IFERROR(E203/D203,0)</f>
        <v/>
      </c>
      <c r="J203" s="7">
        <f>IFERROR(F203/E203,0)</f>
        <v/>
      </c>
      <c r="K203" s="7">
        <f>IFERROR(G203/C203,0)</f>
        <v/>
      </c>
    </row>
    <row r="204">
      <c r="A204" s="2" t="inlineStr">
        <is>
          <t>2026-02-03</t>
        </is>
      </c>
      <c r="B204" s="2" t="inlineStr">
        <is>
          <t>Referral</t>
        </is>
      </c>
      <c r="C204" s="3" t="n">
        <v>31</v>
      </c>
      <c r="D204" s="3" t="n">
        <v>5</v>
      </c>
      <c r="E204" s="3" t="n">
        <v>1</v>
      </c>
      <c r="F204" s="3" t="n">
        <v>0</v>
      </c>
      <c r="G204" s="3" t="n">
        <v>0</v>
      </c>
      <c r="H204" s="4">
        <f>IFERROR(D204/C204,0)</f>
        <v/>
      </c>
      <c r="I204" s="4">
        <f>IFERROR(E204/D204,0)</f>
        <v/>
      </c>
      <c r="J204" s="4">
        <f>IFERROR(F204/E204,0)</f>
        <v/>
      </c>
      <c r="K204" s="4">
        <f>IFERROR(G204/C204,0)</f>
        <v/>
      </c>
    </row>
    <row r="205">
      <c r="A205" s="5" t="inlineStr">
        <is>
          <t>2026-02-03</t>
        </is>
      </c>
      <c r="B205" s="5" t="inlineStr">
        <is>
          <t>Direct</t>
        </is>
      </c>
      <c r="C205" s="6" t="n">
        <v>56</v>
      </c>
      <c r="D205" s="6" t="n">
        <v>3</v>
      </c>
      <c r="E205" s="6" t="n">
        <v>0</v>
      </c>
      <c r="F205" s="6" t="n">
        <v>0</v>
      </c>
      <c r="G205" s="6" t="n">
        <v>0</v>
      </c>
      <c r="H205" s="7">
        <f>IFERROR(D205/C205,0)</f>
        <v/>
      </c>
      <c r="I205" s="7">
        <f>IFERROR(E205/D205,0)</f>
        <v/>
      </c>
      <c r="J205" s="7">
        <f>IFERROR(F205/E205,0)</f>
        <v/>
      </c>
      <c r="K205" s="7">
        <f>IFERROR(G205/C205,0)</f>
        <v/>
      </c>
    </row>
    <row r="206">
      <c r="A206" s="2" t="inlineStr">
        <is>
          <t>2026-02-04</t>
        </is>
      </c>
      <c r="B206" s="2" t="inlineStr">
        <is>
          <t>Google Ads</t>
        </is>
      </c>
      <c r="C206" s="3" t="n">
        <v>201</v>
      </c>
      <c r="D206" s="3" t="n">
        <v>19</v>
      </c>
      <c r="E206" s="3" t="n">
        <v>5</v>
      </c>
      <c r="F206" s="3" t="n">
        <v>2</v>
      </c>
      <c r="G206" s="3" t="n">
        <v>0</v>
      </c>
      <c r="H206" s="4">
        <f>IFERROR(D206/C206,0)</f>
        <v/>
      </c>
      <c r="I206" s="4">
        <f>IFERROR(E206/D206,0)</f>
        <v/>
      </c>
      <c r="J206" s="4">
        <f>IFERROR(F206/E206,0)</f>
        <v/>
      </c>
      <c r="K206" s="4">
        <f>IFERROR(G206/C206,0)</f>
        <v/>
      </c>
    </row>
    <row r="207">
      <c r="A207" s="5" t="inlineStr">
        <is>
          <t>2026-02-04</t>
        </is>
      </c>
      <c r="B207" s="5" t="inlineStr">
        <is>
          <t>Facebook Ads</t>
        </is>
      </c>
      <c r="C207" s="6" t="n">
        <v>159</v>
      </c>
      <c r="D207" s="6" t="n">
        <v>7</v>
      </c>
      <c r="E207" s="6" t="n">
        <v>2</v>
      </c>
      <c r="F207" s="6" t="n">
        <v>0</v>
      </c>
      <c r="G207" s="6" t="n">
        <v>0</v>
      </c>
      <c r="H207" s="7">
        <f>IFERROR(D207/C207,0)</f>
        <v/>
      </c>
      <c r="I207" s="7">
        <f>IFERROR(E207/D207,0)</f>
        <v/>
      </c>
      <c r="J207" s="7">
        <f>IFERROR(F207/E207,0)</f>
        <v/>
      </c>
      <c r="K207" s="7">
        <f>IFERROR(G207/C207,0)</f>
        <v/>
      </c>
    </row>
    <row r="208">
      <c r="A208" s="2" t="inlineStr">
        <is>
          <t>2026-02-04</t>
        </is>
      </c>
      <c r="B208" s="2" t="inlineStr">
        <is>
          <t>Organic SEO</t>
        </is>
      </c>
      <c r="C208" s="3" t="n">
        <v>272</v>
      </c>
      <c r="D208" s="3" t="n">
        <v>26</v>
      </c>
      <c r="E208" s="3" t="n">
        <v>7</v>
      </c>
      <c r="F208" s="3" t="n">
        <v>2</v>
      </c>
      <c r="G208" s="3" t="n">
        <v>1</v>
      </c>
      <c r="H208" s="4">
        <f>IFERROR(D208/C208,0)</f>
        <v/>
      </c>
      <c r="I208" s="4">
        <f>IFERROR(E208/D208,0)</f>
        <v/>
      </c>
      <c r="J208" s="4">
        <f>IFERROR(F208/E208,0)</f>
        <v/>
      </c>
      <c r="K208" s="4">
        <f>IFERROR(G208/C208,0)</f>
        <v/>
      </c>
    </row>
    <row r="209">
      <c r="A209" s="5" t="inlineStr">
        <is>
          <t>2026-02-04</t>
        </is>
      </c>
      <c r="B209" s="5" t="inlineStr">
        <is>
          <t>Email</t>
        </is>
      </c>
      <c r="C209" s="6" t="n">
        <v>51</v>
      </c>
      <c r="D209" s="6" t="n">
        <v>7</v>
      </c>
      <c r="E209" s="6" t="n">
        <v>1</v>
      </c>
      <c r="F209" s="6" t="n">
        <v>0</v>
      </c>
      <c r="G209" s="6" t="n">
        <v>0</v>
      </c>
      <c r="H209" s="7">
        <f>IFERROR(D209/C209,0)</f>
        <v/>
      </c>
      <c r="I209" s="7">
        <f>IFERROR(E209/D209,0)</f>
        <v/>
      </c>
      <c r="J209" s="7">
        <f>IFERROR(F209/E209,0)</f>
        <v/>
      </c>
      <c r="K209" s="7">
        <f>IFERROR(G209/C209,0)</f>
        <v/>
      </c>
    </row>
    <row r="210">
      <c r="A210" s="2" t="inlineStr">
        <is>
          <t>2026-02-04</t>
        </is>
      </c>
      <c r="B210" s="2" t="inlineStr">
        <is>
          <t>Referral</t>
        </is>
      </c>
      <c r="C210" s="3" t="n">
        <v>76</v>
      </c>
      <c r="D210" s="3" t="n">
        <v>12</v>
      </c>
      <c r="E210" s="3" t="n">
        <v>3</v>
      </c>
      <c r="F210" s="3" t="n">
        <v>1</v>
      </c>
      <c r="G210" s="3" t="n">
        <v>1</v>
      </c>
      <c r="H210" s="4">
        <f>IFERROR(D210/C210,0)</f>
        <v/>
      </c>
      <c r="I210" s="4">
        <f>IFERROR(E210/D210,0)</f>
        <v/>
      </c>
      <c r="J210" s="4">
        <f>IFERROR(F210/E210,0)</f>
        <v/>
      </c>
      <c r="K210" s="4">
        <f>IFERROR(G210/C210,0)</f>
        <v/>
      </c>
    </row>
    <row r="211">
      <c r="A211" s="5" t="inlineStr">
        <is>
          <t>2026-02-04</t>
        </is>
      </c>
      <c r="B211" s="5" t="inlineStr">
        <is>
          <t>Direct</t>
        </is>
      </c>
      <c r="C211" s="6" t="n">
        <v>57</v>
      </c>
      <c r="D211" s="6" t="n">
        <v>3</v>
      </c>
      <c r="E211" s="6" t="n">
        <v>0</v>
      </c>
      <c r="F211" s="6" t="n">
        <v>0</v>
      </c>
      <c r="G211" s="6" t="n">
        <v>0</v>
      </c>
      <c r="H211" s="7">
        <f>IFERROR(D211/C211,0)</f>
        <v/>
      </c>
      <c r="I211" s="7">
        <f>IFERROR(E211/D211,0)</f>
        <v/>
      </c>
      <c r="J211" s="7">
        <f>IFERROR(F211/E211,0)</f>
        <v/>
      </c>
      <c r="K211" s="7">
        <f>IFERROR(G211/C211,0)</f>
        <v/>
      </c>
    </row>
    <row r="212">
      <c r="A212" s="2" t="inlineStr">
        <is>
          <t>2026-02-05</t>
        </is>
      </c>
      <c r="B212" s="2" t="inlineStr">
        <is>
          <t>Google Ads</t>
        </is>
      </c>
      <c r="C212" s="3" t="n">
        <v>211</v>
      </c>
      <c r="D212" s="3" t="n">
        <v>15</v>
      </c>
      <c r="E212" s="3" t="n">
        <v>4</v>
      </c>
      <c r="F212" s="3" t="n">
        <v>1</v>
      </c>
      <c r="G212" s="3" t="n">
        <v>0</v>
      </c>
      <c r="H212" s="4">
        <f>IFERROR(D212/C212,0)</f>
        <v/>
      </c>
      <c r="I212" s="4">
        <f>IFERROR(E212/D212,0)</f>
        <v/>
      </c>
      <c r="J212" s="4">
        <f>IFERROR(F212/E212,0)</f>
        <v/>
      </c>
      <c r="K212" s="4">
        <f>IFERROR(G212/C212,0)</f>
        <v/>
      </c>
    </row>
    <row r="213">
      <c r="A213" s="5" t="inlineStr">
        <is>
          <t>2026-02-05</t>
        </is>
      </c>
      <c r="B213" s="5" t="inlineStr">
        <is>
          <t>Facebook Ads</t>
        </is>
      </c>
      <c r="C213" s="6" t="n">
        <v>159</v>
      </c>
      <c r="D213" s="6" t="n">
        <v>7</v>
      </c>
      <c r="E213" s="6" t="n">
        <v>1</v>
      </c>
      <c r="F213" s="6" t="n">
        <v>0</v>
      </c>
      <c r="G213" s="6" t="n">
        <v>0</v>
      </c>
      <c r="H213" s="7">
        <f>IFERROR(D213/C213,0)</f>
        <v/>
      </c>
      <c r="I213" s="7">
        <f>IFERROR(E213/D213,0)</f>
        <v/>
      </c>
      <c r="J213" s="7">
        <f>IFERROR(F213/E213,0)</f>
        <v/>
      </c>
      <c r="K213" s="7">
        <f>IFERROR(G213/C213,0)</f>
        <v/>
      </c>
    </row>
    <row r="214">
      <c r="A214" s="2" t="inlineStr">
        <is>
          <t>2026-02-05</t>
        </is>
      </c>
      <c r="B214" s="2" t="inlineStr">
        <is>
          <t>Organic SEO</t>
        </is>
      </c>
      <c r="C214" s="3" t="n">
        <v>184</v>
      </c>
      <c r="D214" s="3" t="n">
        <v>15</v>
      </c>
      <c r="E214" s="3" t="n">
        <v>3</v>
      </c>
      <c r="F214" s="3" t="n">
        <v>1</v>
      </c>
      <c r="G214" s="3" t="n">
        <v>1</v>
      </c>
      <c r="H214" s="4">
        <f>IFERROR(D214/C214,0)</f>
        <v/>
      </c>
      <c r="I214" s="4">
        <f>IFERROR(E214/D214,0)</f>
        <v/>
      </c>
      <c r="J214" s="4">
        <f>IFERROR(F214/E214,0)</f>
        <v/>
      </c>
      <c r="K214" s="4">
        <f>IFERROR(G214/C214,0)</f>
        <v/>
      </c>
    </row>
    <row r="215">
      <c r="A215" s="5" t="inlineStr">
        <is>
          <t>2026-02-05</t>
        </is>
      </c>
      <c r="B215" s="5" t="inlineStr">
        <is>
          <t>Email</t>
        </is>
      </c>
      <c r="C215" s="6" t="n">
        <v>57</v>
      </c>
      <c r="D215" s="6" t="n">
        <v>6</v>
      </c>
      <c r="E215" s="6" t="n">
        <v>1</v>
      </c>
      <c r="F215" s="6" t="n">
        <v>0</v>
      </c>
      <c r="G215" s="6" t="n">
        <v>0</v>
      </c>
      <c r="H215" s="7">
        <f>IFERROR(D215/C215,0)</f>
        <v/>
      </c>
      <c r="I215" s="7">
        <f>IFERROR(E215/D215,0)</f>
        <v/>
      </c>
      <c r="J215" s="7">
        <f>IFERROR(F215/E215,0)</f>
        <v/>
      </c>
      <c r="K215" s="7">
        <f>IFERROR(G215/C215,0)</f>
        <v/>
      </c>
    </row>
    <row r="216">
      <c r="A216" s="2" t="inlineStr">
        <is>
          <t>2026-02-05</t>
        </is>
      </c>
      <c r="B216" s="2" t="inlineStr">
        <is>
          <t>Referral</t>
        </is>
      </c>
      <c r="C216" s="3" t="n">
        <v>59</v>
      </c>
      <c r="D216" s="3" t="n">
        <v>8</v>
      </c>
      <c r="E216" s="3" t="n">
        <v>1</v>
      </c>
      <c r="F216" s="3" t="n">
        <v>0</v>
      </c>
      <c r="G216" s="3" t="n">
        <v>1</v>
      </c>
      <c r="H216" s="4">
        <f>IFERROR(D216/C216,0)</f>
        <v/>
      </c>
      <c r="I216" s="4">
        <f>IFERROR(E216/D216,0)</f>
        <v/>
      </c>
      <c r="J216" s="4">
        <f>IFERROR(F216/E216,0)</f>
        <v/>
      </c>
      <c r="K216" s="4">
        <f>IFERROR(G216/C216,0)</f>
        <v/>
      </c>
    </row>
    <row r="217">
      <c r="A217" s="5" t="inlineStr">
        <is>
          <t>2026-02-05</t>
        </is>
      </c>
      <c r="B217" s="5" t="inlineStr">
        <is>
          <t>Direct</t>
        </is>
      </c>
      <c r="C217" s="6" t="n">
        <v>22</v>
      </c>
      <c r="D217" s="6" t="n">
        <v>1</v>
      </c>
      <c r="E217" s="6" t="n">
        <v>0</v>
      </c>
      <c r="F217" s="6" t="n">
        <v>0</v>
      </c>
      <c r="G217" s="6" t="n">
        <v>0</v>
      </c>
      <c r="H217" s="7">
        <f>IFERROR(D217/C217,0)</f>
        <v/>
      </c>
      <c r="I217" s="7">
        <f>IFERROR(E217/D217,0)</f>
        <v/>
      </c>
      <c r="J217" s="7">
        <f>IFERROR(F217/E217,0)</f>
        <v/>
      </c>
      <c r="K217" s="7">
        <f>IFERROR(G217/C217,0)</f>
        <v/>
      </c>
    </row>
    <row r="218">
      <c r="A218" s="2" t="inlineStr">
        <is>
          <t>2026-02-06</t>
        </is>
      </c>
      <c r="B218" s="2" t="inlineStr">
        <is>
          <t>Google Ads</t>
        </is>
      </c>
      <c r="C218" s="3" t="n">
        <v>228</v>
      </c>
      <c r="D218" s="3" t="n">
        <v>17</v>
      </c>
      <c r="E218" s="3" t="n">
        <v>5</v>
      </c>
      <c r="F218" s="3" t="n">
        <v>2</v>
      </c>
      <c r="G218" s="3" t="n">
        <v>0</v>
      </c>
      <c r="H218" s="4">
        <f>IFERROR(D218/C218,0)</f>
        <v/>
      </c>
      <c r="I218" s="4">
        <f>IFERROR(E218/D218,0)</f>
        <v/>
      </c>
      <c r="J218" s="4">
        <f>IFERROR(F218/E218,0)</f>
        <v/>
      </c>
      <c r="K218" s="4">
        <f>IFERROR(G218/C218,0)</f>
        <v/>
      </c>
    </row>
    <row r="219">
      <c r="A219" s="5" t="inlineStr">
        <is>
          <t>2026-02-06</t>
        </is>
      </c>
      <c r="B219" s="5" t="inlineStr">
        <is>
          <t>Facebook Ads</t>
        </is>
      </c>
      <c r="C219" s="6" t="n">
        <v>112</v>
      </c>
      <c r="D219" s="6" t="n">
        <v>5</v>
      </c>
      <c r="E219" s="6" t="n">
        <v>1</v>
      </c>
      <c r="F219" s="6" t="n">
        <v>0</v>
      </c>
      <c r="G219" s="6" t="n">
        <v>0</v>
      </c>
      <c r="H219" s="7">
        <f>IFERROR(D219/C219,0)</f>
        <v/>
      </c>
      <c r="I219" s="7">
        <f>IFERROR(E219/D219,0)</f>
        <v/>
      </c>
      <c r="J219" s="7">
        <f>IFERROR(F219/E219,0)</f>
        <v/>
      </c>
      <c r="K219" s="7">
        <f>IFERROR(G219/C219,0)</f>
        <v/>
      </c>
    </row>
    <row r="220">
      <c r="A220" s="2" t="inlineStr">
        <is>
          <t>2026-02-06</t>
        </is>
      </c>
      <c r="B220" s="2" t="inlineStr">
        <is>
          <t>Organic SEO</t>
        </is>
      </c>
      <c r="C220" s="3" t="n">
        <v>187</v>
      </c>
      <c r="D220" s="3" t="n">
        <v>16</v>
      </c>
      <c r="E220" s="3" t="n">
        <v>3</v>
      </c>
      <c r="F220" s="3" t="n">
        <v>1</v>
      </c>
      <c r="G220" s="3" t="n">
        <v>0</v>
      </c>
      <c r="H220" s="4">
        <f>IFERROR(D220/C220,0)</f>
        <v/>
      </c>
      <c r="I220" s="4">
        <f>IFERROR(E220/D220,0)</f>
        <v/>
      </c>
      <c r="J220" s="4">
        <f>IFERROR(F220/E220,0)</f>
        <v/>
      </c>
      <c r="K220" s="4">
        <f>IFERROR(G220/C220,0)</f>
        <v/>
      </c>
    </row>
    <row r="221">
      <c r="A221" s="5" t="inlineStr">
        <is>
          <t>2026-02-06</t>
        </is>
      </c>
      <c r="B221" s="5" t="inlineStr">
        <is>
          <t>Email</t>
        </is>
      </c>
      <c r="C221" s="6" t="n">
        <v>98</v>
      </c>
      <c r="D221" s="6" t="n">
        <v>10</v>
      </c>
      <c r="E221" s="6" t="n">
        <v>2</v>
      </c>
      <c r="F221" s="6" t="n">
        <v>0</v>
      </c>
      <c r="G221" s="6" t="n">
        <v>0</v>
      </c>
      <c r="H221" s="7">
        <f>IFERROR(D221/C221,0)</f>
        <v/>
      </c>
      <c r="I221" s="7">
        <f>IFERROR(E221/D221,0)</f>
        <v/>
      </c>
      <c r="J221" s="7">
        <f>IFERROR(F221/E221,0)</f>
        <v/>
      </c>
      <c r="K221" s="7">
        <f>IFERROR(G221/C221,0)</f>
        <v/>
      </c>
    </row>
    <row r="222">
      <c r="A222" s="2" t="inlineStr">
        <is>
          <t>2026-02-06</t>
        </is>
      </c>
      <c r="B222" s="2" t="inlineStr">
        <is>
          <t>Referral</t>
        </is>
      </c>
      <c r="C222" s="3" t="n">
        <v>10</v>
      </c>
      <c r="D222" s="3" t="n">
        <v>1</v>
      </c>
      <c r="E222" s="3" t="n">
        <v>0</v>
      </c>
      <c r="F222" s="3" t="n">
        <v>0</v>
      </c>
      <c r="G222" s="3" t="n">
        <v>0</v>
      </c>
      <c r="H222" s="4">
        <f>IFERROR(D222/C222,0)</f>
        <v/>
      </c>
      <c r="I222" s="4">
        <f>IFERROR(E222/D222,0)</f>
        <v/>
      </c>
      <c r="J222" s="4">
        <f>IFERROR(F222/E222,0)</f>
        <v/>
      </c>
      <c r="K222" s="4">
        <f>IFERROR(G222/C222,0)</f>
        <v/>
      </c>
    </row>
    <row r="223">
      <c r="A223" s="5" t="inlineStr">
        <is>
          <t>2026-02-06</t>
        </is>
      </c>
      <c r="B223" s="5" t="inlineStr">
        <is>
          <t>Direct</t>
        </is>
      </c>
      <c r="C223" s="6" t="n">
        <v>18</v>
      </c>
      <c r="D223" s="6" t="n">
        <v>1</v>
      </c>
      <c r="E223" s="6" t="n">
        <v>0</v>
      </c>
      <c r="F223" s="6" t="n">
        <v>0</v>
      </c>
      <c r="G223" s="6" t="n">
        <v>0</v>
      </c>
      <c r="H223" s="7">
        <f>IFERROR(D223/C223,0)</f>
        <v/>
      </c>
      <c r="I223" s="7">
        <f>IFERROR(E223/D223,0)</f>
        <v/>
      </c>
      <c r="J223" s="7">
        <f>IFERROR(F223/E223,0)</f>
        <v/>
      </c>
      <c r="K223" s="7">
        <f>IFERROR(G223/C223,0)</f>
        <v/>
      </c>
    </row>
    <row r="224">
      <c r="A224" s="2" t="inlineStr">
        <is>
          <t>2026-02-07</t>
        </is>
      </c>
      <c r="B224" s="2" t="inlineStr">
        <is>
          <t>Google Ads</t>
        </is>
      </c>
      <c r="C224" s="3" t="n">
        <v>169</v>
      </c>
      <c r="D224" s="3" t="n">
        <v>12</v>
      </c>
      <c r="E224" s="3" t="n">
        <v>3</v>
      </c>
      <c r="F224" s="3" t="n">
        <v>1</v>
      </c>
      <c r="G224" s="3" t="n">
        <v>0</v>
      </c>
      <c r="H224" s="4">
        <f>IFERROR(D224/C224,0)</f>
        <v/>
      </c>
      <c r="I224" s="4">
        <f>IFERROR(E224/D224,0)</f>
        <v/>
      </c>
      <c r="J224" s="4">
        <f>IFERROR(F224/E224,0)</f>
        <v/>
      </c>
      <c r="K224" s="4">
        <f>IFERROR(G224/C224,0)</f>
        <v/>
      </c>
    </row>
    <row r="225">
      <c r="A225" s="5" t="inlineStr">
        <is>
          <t>2026-02-07</t>
        </is>
      </c>
      <c r="B225" s="5" t="inlineStr">
        <is>
          <t>Facebook Ads</t>
        </is>
      </c>
      <c r="C225" s="6" t="n">
        <v>118</v>
      </c>
      <c r="D225" s="6" t="n">
        <v>5</v>
      </c>
      <c r="E225" s="6" t="n">
        <v>1</v>
      </c>
      <c r="F225" s="6" t="n">
        <v>0</v>
      </c>
      <c r="G225" s="6" t="n">
        <v>0</v>
      </c>
      <c r="H225" s="7">
        <f>IFERROR(D225/C225,0)</f>
        <v/>
      </c>
      <c r="I225" s="7">
        <f>IFERROR(E225/D225,0)</f>
        <v/>
      </c>
      <c r="J225" s="7">
        <f>IFERROR(F225/E225,0)</f>
        <v/>
      </c>
      <c r="K225" s="7">
        <f>IFERROR(G225/C225,0)</f>
        <v/>
      </c>
    </row>
    <row r="226">
      <c r="A226" s="2" t="inlineStr">
        <is>
          <t>2026-02-07</t>
        </is>
      </c>
      <c r="B226" s="2" t="inlineStr">
        <is>
          <t>Organic SEO</t>
        </is>
      </c>
      <c r="C226" s="3" t="n">
        <v>183</v>
      </c>
      <c r="D226" s="3" t="n">
        <v>13</v>
      </c>
      <c r="E226" s="3" t="n">
        <v>3</v>
      </c>
      <c r="F226" s="3" t="n">
        <v>1</v>
      </c>
      <c r="G226" s="3" t="n">
        <v>0</v>
      </c>
      <c r="H226" s="4">
        <f>IFERROR(D226/C226,0)</f>
        <v/>
      </c>
      <c r="I226" s="4">
        <f>IFERROR(E226/D226,0)</f>
        <v/>
      </c>
      <c r="J226" s="4">
        <f>IFERROR(F226/E226,0)</f>
        <v/>
      </c>
      <c r="K226" s="4">
        <f>IFERROR(G226/C226,0)</f>
        <v/>
      </c>
    </row>
    <row r="227">
      <c r="A227" s="5" t="inlineStr">
        <is>
          <t>2026-02-07</t>
        </is>
      </c>
      <c r="B227" s="5" t="inlineStr">
        <is>
          <t>Email</t>
        </is>
      </c>
      <c r="C227" s="6" t="n">
        <v>42</v>
      </c>
      <c r="D227" s="6" t="n">
        <v>4</v>
      </c>
      <c r="E227" s="6" t="n">
        <v>1</v>
      </c>
      <c r="F227" s="6" t="n">
        <v>0</v>
      </c>
      <c r="G227" s="6" t="n">
        <v>0</v>
      </c>
      <c r="H227" s="7">
        <f>IFERROR(D227/C227,0)</f>
        <v/>
      </c>
      <c r="I227" s="7">
        <f>IFERROR(E227/D227,0)</f>
        <v/>
      </c>
      <c r="J227" s="7">
        <f>IFERROR(F227/E227,0)</f>
        <v/>
      </c>
      <c r="K227" s="7">
        <f>IFERROR(G227/C227,0)</f>
        <v/>
      </c>
    </row>
    <row r="228">
      <c r="A228" s="2" t="inlineStr">
        <is>
          <t>2026-02-07</t>
        </is>
      </c>
      <c r="B228" s="2" t="inlineStr">
        <is>
          <t>Referral</t>
        </is>
      </c>
      <c r="C228" s="3" t="n">
        <v>85</v>
      </c>
      <c r="D228" s="3" t="n">
        <v>10</v>
      </c>
      <c r="E228" s="3" t="n">
        <v>2</v>
      </c>
      <c r="F228" s="3" t="n">
        <v>0</v>
      </c>
      <c r="G228" s="3" t="n">
        <v>1</v>
      </c>
      <c r="H228" s="4">
        <f>IFERROR(D228/C228,0)</f>
        <v/>
      </c>
      <c r="I228" s="4">
        <f>IFERROR(E228/D228,0)</f>
        <v/>
      </c>
      <c r="J228" s="4">
        <f>IFERROR(F228/E228,0)</f>
        <v/>
      </c>
      <c r="K228" s="4">
        <f>IFERROR(G228/C228,0)</f>
        <v/>
      </c>
    </row>
    <row r="229">
      <c r="A229" s="5" t="inlineStr">
        <is>
          <t>2026-02-07</t>
        </is>
      </c>
      <c r="B229" s="5" t="inlineStr">
        <is>
          <t>Direct</t>
        </is>
      </c>
      <c r="C229" s="6" t="n">
        <v>67</v>
      </c>
      <c r="D229" s="6" t="n">
        <v>4</v>
      </c>
      <c r="E229" s="6" t="n">
        <v>0</v>
      </c>
      <c r="F229" s="6" t="n">
        <v>0</v>
      </c>
      <c r="G229" s="6" t="n">
        <v>0</v>
      </c>
      <c r="H229" s="7">
        <f>IFERROR(D229/C229,0)</f>
        <v/>
      </c>
      <c r="I229" s="7">
        <f>IFERROR(E229/D229,0)</f>
        <v/>
      </c>
      <c r="J229" s="7">
        <f>IFERROR(F229/E229,0)</f>
        <v/>
      </c>
      <c r="K229" s="7">
        <f>IFERROR(G229/C229,0)</f>
        <v/>
      </c>
    </row>
    <row r="230">
      <c r="A230" s="2" t="inlineStr">
        <is>
          <t>2026-02-08</t>
        </is>
      </c>
      <c r="B230" s="2" t="inlineStr">
        <is>
          <t>Google Ads</t>
        </is>
      </c>
      <c r="C230" s="3" t="n">
        <v>224</v>
      </c>
      <c r="D230" s="3" t="n">
        <v>18</v>
      </c>
      <c r="E230" s="3" t="n">
        <v>5</v>
      </c>
      <c r="F230" s="3" t="n">
        <v>1</v>
      </c>
      <c r="G230" s="3" t="n">
        <v>1</v>
      </c>
      <c r="H230" s="4">
        <f>IFERROR(D230/C230,0)</f>
        <v/>
      </c>
      <c r="I230" s="4">
        <f>IFERROR(E230/D230,0)</f>
        <v/>
      </c>
      <c r="J230" s="4">
        <f>IFERROR(F230/E230,0)</f>
        <v/>
      </c>
      <c r="K230" s="4">
        <f>IFERROR(G230/C230,0)</f>
        <v/>
      </c>
    </row>
    <row r="231">
      <c r="A231" s="5" t="inlineStr">
        <is>
          <t>2026-02-08</t>
        </is>
      </c>
      <c r="B231" s="5" t="inlineStr">
        <is>
          <t>Facebook Ads</t>
        </is>
      </c>
      <c r="C231" s="6" t="n">
        <v>161</v>
      </c>
      <c r="D231" s="6" t="n">
        <v>7</v>
      </c>
      <c r="E231" s="6" t="n">
        <v>1</v>
      </c>
      <c r="F231" s="6" t="n">
        <v>0</v>
      </c>
      <c r="G231" s="6" t="n">
        <v>0</v>
      </c>
      <c r="H231" s="7">
        <f>IFERROR(D231/C231,0)</f>
        <v/>
      </c>
      <c r="I231" s="7">
        <f>IFERROR(E231/D231,0)</f>
        <v/>
      </c>
      <c r="J231" s="7">
        <f>IFERROR(F231/E231,0)</f>
        <v/>
      </c>
      <c r="K231" s="7">
        <f>IFERROR(G231/C231,0)</f>
        <v/>
      </c>
    </row>
    <row r="232">
      <c r="A232" s="2" t="inlineStr">
        <is>
          <t>2026-02-08</t>
        </is>
      </c>
      <c r="B232" s="2" t="inlineStr">
        <is>
          <t>Organic SEO</t>
        </is>
      </c>
      <c r="C232" s="3" t="n">
        <v>236</v>
      </c>
      <c r="D232" s="3" t="n">
        <v>17</v>
      </c>
      <c r="E232" s="3" t="n">
        <v>4</v>
      </c>
      <c r="F232" s="3" t="n">
        <v>1</v>
      </c>
      <c r="G232" s="3" t="n">
        <v>0</v>
      </c>
      <c r="H232" s="4">
        <f>IFERROR(D232/C232,0)</f>
        <v/>
      </c>
      <c r="I232" s="4">
        <f>IFERROR(E232/D232,0)</f>
        <v/>
      </c>
      <c r="J232" s="4">
        <f>IFERROR(F232/E232,0)</f>
        <v/>
      </c>
      <c r="K232" s="4">
        <f>IFERROR(G232/C232,0)</f>
        <v/>
      </c>
    </row>
    <row r="233">
      <c r="A233" s="5" t="inlineStr">
        <is>
          <t>2026-02-08</t>
        </is>
      </c>
      <c r="B233" s="5" t="inlineStr">
        <is>
          <t>Email</t>
        </is>
      </c>
      <c r="C233" s="6" t="n">
        <v>75</v>
      </c>
      <c r="D233" s="6" t="n">
        <v>9</v>
      </c>
      <c r="E233" s="6" t="n">
        <v>2</v>
      </c>
      <c r="F233" s="6" t="n">
        <v>0</v>
      </c>
      <c r="G233" s="6" t="n">
        <v>1</v>
      </c>
      <c r="H233" s="7">
        <f>IFERROR(D233/C233,0)</f>
        <v/>
      </c>
      <c r="I233" s="7">
        <f>IFERROR(E233/D233,0)</f>
        <v/>
      </c>
      <c r="J233" s="7">
        <f>IFERROR(F233/E233,0)</f>
        <v/>
      </c>
      <c r="K233" s="7">
        <f>IFERROR(G233/C233,0)</f>
        <v/>
      </c>
    </row>
    <row r="234">
      <c r="A234" s="2" t="inlineStr">
        <is>
          <t>2026-02-08</t>
        </is>
      </c>
      <c r="B234" s="2" t="inlineStr">
        <is>
          <t>Referral</t>
        </is>
      </c>
      <c r="C234" s="3" t="n">
        <v>66</v>
      </c>
      <c r="D234" s="3" t="n">
        <v>10</v>
      </c>
      <c r="E234" s="3" t="n">
        <v>2</v>
      </c>
      <c r="F234" s="3" t="n">
        <v>0</v>
      </c>
      <c r="G234" s="3" t="n">
        <v>1</v>
      </c>
      <c r="H234" s="4">
        <f>IFERROR(D234/C234,0)</f>
        <v/>
      </c>
      <c r="I234" s="4">
        <f>IFERROR(E234/D234,0)</f>
        <v/>
      </c>
      <c r="J234" s="4">
        <f>IFERROR(F234/E234,0)</f>
        <v/>
      </c>
      <c r="K234" s="4">
        <f>IFERROR(G234/C234,0)</f>
        <v/>
      </c>
    </row>
    <row r="235">
      <c r="A235" s="5" t="inlineStr">
        <is>
          <t>2026-02-08</t>
        </is>
      </c>
      <c r="B235" s="5" t="inlineStr">
        <is>
          <t>Direct</t>
        </is>
      </c>
      <c r="C235" s="6" t="n">
        <v>99</v>
      </c>
      <c r="D235" s="6" t="n">
        <v>5</v>
      </c>
      <c r="E235" s="6" t="n">
        <v>1</v>
      </c>
      <c r="F235" s="6" t="n">
        <v>0</v>
      </c>
      <c r="G235" s="6" t="n">
        <v>0</v>
      </c>
      <c r="H235" s="7">
        <f>IFERROR(D235/C235,0)</f>
        <v/>
      </c>
      <c r="I235" s="7">
        <f>IFERROR(E235/D235,0)</f>
        <v/>
      </c>
      <c r="J235" s="7">
        <f>IFERROR(F235/E235,0)</f>
        <v/>
      </c>
      <c r="K235" s="7">
        <f>IFERROR(G235/C235,0)</f>
        <v/>
      </c>
    </row>
    <row r="236">
      <c r="A236" s="2" t="inlineStr">
        <is>
          <t>2026-02-09</t>
        </is>
      </c>
      <c r="B236" s="2" t="inlineStr">
        <is>
          <t>Google Ads</t>
        </is>
      </c>
      <c r="C236" s="3" t="n">
        <v>167</v>
      </c>
      <c r="D236" s="3" t="n">
        <v>12</v>
      </c>
      <c r="E236" s="3" t="n">
        <v>3</v>
      </c>
      <c r="F236" s="3" t="n">
        <v>1</v>
      </c>
      <c r="G236" s="3" t="n">
        <v>0</v>
      </c>
      <c r="H236" s="4">
        <f>IFERROR(D236/C236,0)</f>
        <v/>
      </c>
      <c r="I236" s="4">
        <f>IFERROR(E236/D236,0)</f>
        <v/>
      </c>
      <c r="J236" s="4">
        <f>IFERROR(F236/E236,0)</f>
        <v/>
      </c>
      <c r="K236" s="4">
        <f>IFERROR(G236/C236,0)</f>
        <v/>
      </c>
    </row>
    <row r="237">
      <c r="A237" s="5" t="inlineStr">
        <is>
          <t>2026-02-09</t>
        </is>
      </c>
      <c r="B237" s="5" t="inlineStr">
        <is>
          <t>Facebook Ads</t>
        </is>
      </c>
      <c r="C237" s="6" t="n">
        <v>151</v>
      </c>
      <c r="D237" s="6" t="n">
        <v>4</v>
      </c>
      <c r="E237" s="6" t="n">
        <v>1</v>
      </c>
      <c r="F237" s="6" t="n">
        <v>0</v>
      </c>
      <c r="G237" s="6" t="n">
        <v>0</v>
      </c>
      <c r="H237" s="7">
        <f>IFERROR(D237/C237,0)</f>
        <v/>
      </c>
      <c r="I237" s="7">
        <f>IFERROR(E237/D237,0)</f>
        <v/>
      </c>
      <c r="J237" s="7">
        <f>IFERROR(F237/E237,0)</f>
        <v/>
      </c>
      <c r="K237" s="7">
        <f>IFERROR(G237/C237,0)</f>
        <v/>
      </c>
    </row>
    <row r="238">
      <c r="A238" s="2" t="inlineStr">
        <is>
          <t>2026-02-09</t>
        </is>
      </c>
      <c r="B238" s="2" t="inlineStr">
        <is>
          <t>Organic SEO</t>
        </is>
      </c>
      <c r="C238" s="3" t="n">
        <v>227</v>
      </c>
      <c r="D238" s="3" t="n">
        <v>24</v>
      </c>
      <c r="E238" s="3" t="n">
        <v>6</v>
      </c>
      <c r="F238" s="3" t="n">
        <v>2</v>
      </c>
      <c r="G238" s="3" t="n">
        <v>1</v>
      </c>
      <c r="H238" s="4">
        <f>IFERROR(D238/C238,0)</f>
        <v/>
      </c>
      <c r="I238" s="4">
        <f>IFERROR(E238/D238,0)</f>
        <v/>
      </c>
      <c r="J238" s="4">
        <f>IFERROR(F238/E238,0)</f>
        <v/>
      </c>
      <c r="K238" s="4">
        <f>IFERROR(G238/C238,0)</f>
        <v/>
      </c>
    </row>
    <row r="239">
      <c r="A239" s="5" t="inlineStr">
        <is>
          <t>2026-02-09</t>
        </is>
      </c>
      <c r="B239" s="5" t="inlineStr">
        <is>
          <t>Email</t>
        </is>
      </c>
      <c r="C239" s="6" t="n">
        <v>50</v>
      </c>
      <c r="D239" s="6" t="n">
        <v>5</v>
      </c>
      <c r="E239" s="6" t="n">
        <v>1</v>
      </c>
      <c r="F239" s="6" t="n">
        <v>0</v>
      </c>
      <c r="G239" s="6" t="n">
        <v>0</v>
      </c>
      <c r="H239" s="7">
        <f>IFERROR(D239/C239,0)</f>
        <v/>
      </c>
      <c r="I239" s="7">
        <f>IFERROR(E239/D239,0)</f>
        <v/>
      </c>
      <c r="J239" s="7">
        <f>IFERROR(F239/E239,0)</f>
        <v/>
      </c>
      <c r="K239" s="7">
        <f>IFERROR(G239/C239,0)</f>
        <v/>
      </c>
    </row>
    <row r="240">
      <c r="A240" s="2" t="inlineStr">
        <is>
          <t>2026-02-09</t>
        </is>
      </c>
      <c r="B240" s="2" t="inlineStr">
        <is>
          <t>Referral</t>
        </is>
      </c>
      <c r="C240" s="3" t="n">
        <v>61</v>
      </c>
      <c r="D240" s="3" t="n">
        <v>7</v>
      </c>
      <c r="E240" s="3" t="n">
        <v>1</v>
      </c>
      <c r="F240" s="3" t="n">
        <v>0</v>
      </c>
      <c r="G240" s="3" t="n">
        <v>1</v>
      </c>
      <c r="H240" s="4">
        <f>IFERROR(D240/C240,0)</f>
        <v/>
      </c>
      <c r="I240" s="4">
        <f>IFERROR(E240/D240,0)</f>
        <v/>
      </c>
      <c r="J240" s="4">
        <f>IFERROR(F240/E240,0)</f>
        <v/>
      </c>
      <c r="K240" s="4">
        <f>IFERROR(G240/C240,0)</f>
        <v/>
      </c>
    </row>
    <row r="241">
      <c r="A241" s="5" t="inlineStr">
        <is>
          <t>2026-02-09</t>
        </is>
      </c>
      <c r="B241" s="5" t="inlineStr">
        <is>
          <t>Direct</t>
        </is>
      </c>
      <c r="C241" s="6" t="n">
        <v>62</v>
      </c>
      <c r="D241" s="6" t="n">
        <v>3</v>
      </c>
      <c r="E241" s="6" t="n">
        <v>0</v>
      </c>
      <c r="F241" s="6" t="n">
        <v>0</v>
      </c>
      <c r="G241" s="6" t="n">
        <v>0</v>
      </c>
      <c r="H241" s="7">
        <f>IFERROR(D241/C241,0)</f>
        <v/>
      </c>
      <c r="I241" s="7">
        <f>IFERROR(E241/D241,0)</f>
        <v/>
      </c>
      <c r="J241" s="7">
        <f>IFERROR(F241/E241,0)</f>
        <v/>
      </c>
      <c r="K241" s="7">
        <f>IFERROR(G241/C241,0)</f>
        <v/>
      </c>
    </row>
    <row r="242">
      <c r="A242" s="2" t="inlineStr">
        <is>
          <t>2026-02-10</t>
        </is>
      </c>
      <c r="B242" s="2" t="inlineStr">
        <is>
          <t>Google Ads</t>
        </is>
      </c>
      <c r="C242" s="3" t="n">
        <v>232</v>
      </c>
      <c r="D242" s="3" t="n">
        <v>14</v>
      </c>
      <c r="E242" s="3" t="n">
        <v>3</v>
      </c>
      <c r="F242" s="3" t="n">
        <v>1</v>
      </c>
      <c r="G242" s="3" t="n">
        <v>0</v>
      </c>
      <c r="H242" s="4">
        <f>IFERROR(D242/C242,0)</f>
        <v/>
      </c>
      <c r="I242" s="4">
        <f>IFERROR(E242/D242,0)</f>
        <v/>
      </c>
      <c r="J242" s="4">
        <f>IFERROR(F242/E242,0)</f>
        <v/>
      </c>
      <c r="K242" s="4">
        <f>IFERROR(G242/C242,0)</f>
        <v/>
      </c>
    </row>
    <row r="243">
      <c r="A243" s="5" t="inlineStr">
        <is>
          <t>2026-02-10</t>
        </is>
      </c>
      <c r="B243" s="5" t="inlineStr">
        <is>
          <t>Facebook Ads</t>
        </is>
      </c>
      <c r="C243" s="6" t="n">
        <v>164</v>
      </c>
      <c r="D243" s="6" t="n">
        <v>4</v>
      </c>
      <c r="E243" s="6" t="n">
        <v>0</v>
      </c>
      <c r="F243" s="6" t="n">
        <v>0</v>
      </c>
      <c r="G243" s="6" t="n">
        <v>0</v>
      </c>
      <c r="H243" s="7">
        <f>IFERROR(D243/C243,0)</f>
        <v/>
      </c>
      <c r="I243" s="7">
        <f>IFERROR(E243/D243,0)</f>
        <v/>
      </c>
      <c r="J243" s="7">
        <f>IFERROR(F243/E243,0)</f>
        <v/>
      </c>
      <c r="K243" s="7">
        <f>IFERROR(G243/C243,0)</f>
        <v/>
      </c>
    </row>
    <row r="244">
      <c r="A244" s="2" t="inlineStr">
        <is>
          <t>2026-02-10</t>
        </is>
      </c>
      <c r="B244" s="2" t="inlineStr">
        <is>
          <t>Organic SEO</t>
        </is>
      </c>
      <c r="C244" s="3" t="n">
        <v>251</v>
      </c>
      <c r="D244" s="3" t="n">
        <v>21</v>
      </c>
      <c r="E244" s="3" t="n">
        <v>5</v>
      </c>
      <c r="F244" s="3" t="n">
        <v>2</v>
      </c>
      <c r="G244" s="3" t="n">
        <v>1</v>
      </c>
      <c r="H244" s="4">
        <f>IFERROR(D244/C244,0)</f>
        <v/>
      </c>
      <c r="I244" s="4">
        <f>IFERROR(E244/D244,0)</f>
        <v/>
      </c>
      <c r="J244" s="4">
        <f>IFERROR(F244/E244,0)</f>
        <v/>
      </c>
      <c r="K244" s="4">
        <f>IFERROR(G244/C244,0)</f>
        <v/>
      </c>
    </row>
    <row r="245">
      <c r="A245" s="5" t="inlineStr">
        <is>
          <t>2026-02-10</t>
        </is>
      </c>
      <c r="B245" s="5" t="inlineStr">
        <is>
          <t>Email</t>
        </is>
      </c>
      <c r="C245" s="6" t="n">
        <v>111</v>
      </c>
      <c r="D245" s="6" t="n">
        <v>16</v>
      </c>
      <c r="E245" s="6" t="n">
        <v>4</v>
      </c>
      <c r="F245" s="6" t="n">
        <v>1</v>
      </c>
      <c r="G245" s="6" t="n">
        <v>2</v>
      </c>
      <c r="H245" s="7">
        <f>IFERROR(D245/C245,0)</f>
        <v/>
      </c>
      <c r="I245" s="7">
        <f>IFERROR(E245/D245,0)</f>
        <v/>
      </c>
      <c r="J245" s="7">
        <f>IFERROR(F245/E245,0)</f>
        <v/>
      </c>
      <c r="K245" s="7">
        <f>IFERROR(G245/C245,0)</f>
        <v/>
      </c>
    </row>
    <row r="246">
      <c r="A246" s="2" t="inlineStr">
        <is>
          <t>2026-02-10</t>
        </is>
      </c>
      <c r="B246" s="2" t="inlineStr">
        <is>
          <t>Referral</t>
        </is>
      </c>
      <c r="C246" s="3" t="n">
        <v>10</v>
      </c>
      <c r="D246" s="3" t="n">
        <v>1</v>
      </c>
      <c r="E246" s="3" t="n">
        <v>0</v>
      </c>
      <c r="F246" s="3" t="n">
        <v>0</v>
      </c>
      <c r="G246" s="3" t="n">
        <v>0</v>
      </c>
      <c r="H246" s="4">
        <f>IFERROR(D246/C246,0)</f>
        <v/>
      </c>
      <c r="I246" s="4">
        <f>IFERROR(E246/D246,0)</f>
        <v/>
      </c>
      <c r="J246" s="4">
        <f>IFERROR(F246/E246,0)</f>
        <v/>
      </c>
      <c r="K246" s="4">
        <f>IFERROR(G246/C246,0)</f>
        <v/>
      </c>
    </row>
    <row r="247">
      <c r="A247" s="5" t="inlineStr">
        <is>
          <t>2026-02-10</t>
        </is>
      </c>
      <c r="B247" s="5" t="inlineStr">
        <is>
          <t>Direct</t>
        </is>
      </c>
      <c r="C247" s="6" t="n">
        <v>44</v>
      </c>
      <c r="D247" s="6" t="n">
        <v>3</v>
      </c>
      <c r="E247" s="6" t="n">
        <v>0</v>
      </c>
      <c r="F247" s="6" t="n">
        <v>0</v>
      </c>
      <c r="G247" s="6" t="n">
        <v>0</v>
      </c>
      <c r="H247" s="7">
        <f>IFERROR(D247/C247,0)</f>
        <v/>
      </c>
      <c r="I247" s="7">
        <f>IFERROR(E247/D247,0)</f>
        <v/>
      </c>
      <c r="J247" s="7">
        <f>IFERROR(F247/E247,0)</f>
        <v/>
      </c>
      <c r="K247" s="7">
        <f>IFERROR(G247/C247,0)</f>
        <v/>
      </c>
    </row>
    <row r="248">
      <c r="A248" s="2" t="inlineStr">
        <is>
          <t>2026-02-11</t>
        </is>
      </c>
      <c r="B248" s="2" t="inlineStr">
        <is>
          <t>Google Ads</t>
        </is>
      </c>
      <c r="C248" s="3" t="n">
        <v>158</v>
      </c>
      <c r="D248" s="3" t="n">
        <v>13</v>
      </c>
      <c r="E248" s="3" t="n">
        <v>3</v>
      </c>
      <c r="F248" s="3" t="n">
        <v>1</v>
      </c>
      <c r="G248" s="3" t="n">
        <v>0</v>
      </c>
      <c r="H248" s="4">
        <f>IFERROR(D248/C248,0)</f>
        <v/>
      </c>
      <c r="I248" s="4">
        <f>IFERROR(E248/D248,0)</f>
        <v/>
      </c>
      <c r="J248" s="4">
        <f>IFERROR(F248/E248,0)</f>
        <v/>
      </c>
      <c r="K248" s="4">
        <f>IFERROR(G248/C248,0)</f>
        <v/>
      </c>
    </row>
    <row r="249">
      <c r="A249" s="5" t="inlineStr">
        <is>
          <t>2026-02-11</t>
        </is>
      </c>
      <c r="B249" s="5" t="inlineStr">
        <is>
          <t>Facebook Ads</t>
        </is>
      </c>
      <c r="C249" s="6" t="n">
        <v>103</v>
      </c>
      <c r="D249" s="6" t="n">
        <v>2</v>
      </c>
      <c r="E249" s="6" t="n">
        <v>0</v>
      </c>
      <c r="F249" s="6" t="n">
        <v>0</v>
      </c>
      <c r="G249" s="6" t="n">
        <v>0</v>
      </c>
      <c r="H249" s="7">
        <f>IFERROR(D249/C249,0)</f>
        <v/>
      </c>
      <c r="I249" s="7">
        <f>IFERROR(E249/D249,0)</f>
        <v/>
      </c>
      <c r="J249" s="7">
        <f>IFERROR(F249/E249,0)</f>
        <v/>
      </c>
      <c r="K249" s="7">
        <f>IFERROR(G249/C249,0)</f>
        <v/>
      </c>
    </row>
    <row r="250">
      <c r="A250" s="2" t="inlineStr">
        <is>
          <t>2026-02-11</t>
        </is>
      </c>
      <c r="B250" s="2" t="inlineStr">
        <is>
          <t>Organic SEO</t>
        </is>
      </c>
      <c r="C250" s="3" t="n">
        <v>200</v>
      </c>
      <c r="D250" s="3" t="n">
        <v>16</v>
      </c>
      <c r="E250" s="3" t="n">
        <v>4</v>
      </c>
      <c r="F250" s="3" t="n">
        <v>1</v>
      </c>
      <c r="G250" s="3" t="n">
        <v>1</v>
      </c>
      <c r="H250" s="4">
        <f>IFERROR(D250/C250,0)</f>
        <v/>
      </c>
      <c r="I250" s="4">
        <f>IFERROR(E250/D250,0)</f>
        <v/>
      </c>
      <c r="J250" s="4">
        <f>IFERROR(F250/E250,0)</f>
        <v/>
      </c>
      <c r="K250" s="4">
        <f>IFERROR(G250/C250,0)</f>
        <v/>
      </c>
    </row>
    <row r="251">
      <c r="A251" s="5" t="inlineStr">
        <is>
          <t>2026-02-11</t>
        </is>
      </c>
      <c r="B251" s="5" t="inlineStr">
        <is>
          <t>Email</t>
        </is>
      </c>
      <c r="C251" s="6" t="n">
        <v>50</v>
      </c>
      <c r="D251" s="6" t="n">
        <v>7</v>
      </c>
      <c r="E251" s="6" t="n">
        <v>1</v>
      </c>
      <c r="F251" s="6" t="n">
        <v>0</v>
      </c>
      <c r="G251" s="6" t="n">
        <v>0</v>
      </c>
      <c r="H251" s="7">
        <f>IFERROR(D251/C251,0)</f>
        <v/>
      </c>
      <c r="I251" s="7">
        <f>IFERROR(E251/D251,0)</f>
        <v/>
      </c>
      <c r="J251" s="7">
        <f>IFERROR(F251/E251,0)</f>
        <v/>
      </c>
      <c r="K251" s="7">
        <f>IFERROR(G251/C251,0)</f>
        <v/>
      </c>
    </row>
    <row r="252">
      <c r="A252" s="2" t="inlineStr">
        <is>
          <t>2026-02-11</t>
        </is>
      </c>
      <c r="B252" s="2" t="inlineStr">
        <is>
          <t>Referral</t>
        </is>
      </c>
      <c r="C252" s="3" t="n">
        <v>10</v>
      </c>
      <c r="D252" s="3" t="n">
        <v>1</v>
      </c>
      <c r="E252" s="3" t="n">
        <v>0</v>
      </c>
      <c r="F252" s="3" t="n">
        <v>0</v>
      </c>
      <c r="G252" s="3" t="n">
        <v>0</v>
      </c>
      <c r="H252" s="4">
        <f>IFERROR(D252/C252,0)</f>
        <v/>
      </c>
      <c r="I252" s="4">
        <f>IFERROR(E252/D252,0)</f>
        <v/>
      </c>
      <c r="J252" s="4">
        <f>IFERROR(F252/E252,0)</f>
        <v/>
      </c>
      <c r="K252" s="4">
        <f>IFERROR(G252/C252,0)</f>
        <v/>
      </c>
    </row>
    <row r="253">
      <c r="A253" s="5" t="inlineStr">
        <is>
          <t>2026-02-11</t>
        </is>
      </c>
      <c r="B253" s="5" t="inlineStr">
        <is>
          <t>Direct</t>
        </is>
      </c>
      <c r="C253" s="6" t="n">
        <v>44</v>
      </c>
      <c r="D253" s="6" t="n">
        <v>2</v>
      </c>
      <c r="E253" s="6" t="n">
        <v>0</v>
      </c>
      <c r="F253" s="6" t="n">
        <v>0</v>
      </c>
      <c r="G253" s="6" t="n">
        <v>0</v>
      </c>
      <c r="H253" s="7">
        <f>IFERROR(D253/C253,0)</f>
        <v/>
      </c>
      <c r="I253" s="7">
        <f>IFERROR(E253/D253,0)</f>
        <v/>
      </c>
      <c r="J253" s="7">
        <f>IFERROR(F253/E253,0)</f>
        <v/>
      </c>
      <c r="K253" s="7">
        <f>IFERROR(G253/C253,0)</f>
        <v/>
      </c>
    </row>
    <row r="254">
      <c r="A254" s="2" t="inlineStr">
        <is>
          <t>2026-02-12</t>
        </is>
      </c>
      <c r="B254" s="2" t="inlineStr">
        <is>
          <t>Google Ads</t>
        </is>
      </c>
      <c r="C254" s="3" t="n">
        <v>226</v>
      </c>
      <c r="D254" s="3" t="n">
        <v>19</v>
      </c>
      <c r="E254" s="3" t="n">
        <v>5</v>
      </c>
      <c r="F254" s="3" t="n">
        <v>1</v>
      </c>
      <c r="G254" s="3" t="n">
        <v>1</v>
      </c>
      <c r="H254" s="4">
        <f>IFERROR(D254/C254,0)</f>
        <v/>
      </c>
      <c r="I254" s="4">
        <f>IFERROR(E254/D254,0)</f>
        <v/>
      </c>
      <c r="J254" s="4">
        <f>IFERROR(F254/E254,0)</f>
        <v/>
      </c>
      <c r="K254" s="4">
        <f>IFERROR(G254/C254,0)</f>
        <v/>
      </c>
    </row>
    <row r="255">
      <c r="A255" s="5" t="inlineStr">
        <is>
          <t>2026-02-12</t>
        </is>
      </c>
      <c r="B255" s="5" t="inlineStr">
        <is>
          <t>Facebook Ads</t>
        </is>
      </c>
      <c r="C255" s="6" t="n">
        <v>150</v>
      </c>
      <c r="D255" s="6" t="n">
        <v>7</v>
      </c>
      <c r="E255" s="6" t="n">
        <v>1</v>
      </c>
      <c r="F255" s="6" t="n">
        <v>0</v>
      </c>
      <c r="G255" s="6" t="n">
        <v>0</v>
      </c>
      <c r="H255" s="7">
        <f>IFERROR(D255/C255,0)</f>
        <v/>
      </c>
      <c r="I255" s="7">
        <f>IFERROR(E255/D255,0)</f>
        <v/>
      </c>
      <c r="J255" s="7">
        <f>IFERROR(F255/E255,0)</f>
        <v/>
      </c>
      <c r="K255" s="7">
        <f>IFERROR(G255/C255,0)</f>
        <v/>
      </c>
    </row>
    <row r="256">
      <c r="A256" s="2" t="inlineStr">
        <is>
          <t>2026-02-12</t>
        </is>
      </c>
      <c r="B256" s="2" t="inlineStr">
        <is>
          <t>Organic SEO</t>
        </is>
      </c>
      <c r="C256" s="3" t="n">
        <v>278</v>
      </c>
      <c r="D256" s="3" t="n">
        <v>20</v>
      </c>
      <c r="E256" s="3" t="n">
        <v>4</v>
      </c>
      <c r="F256" s="3" t="n">
        <v>1</v>
      </c>
      <c r="G256" s="3" t="n">
        <v>1</v>
      </c>
      <c r="H256" s="4">
        <f>IFERROR(D256/C256,0)</f>
        <v/>
      </c>
      <c r="I256" s="4">
        <f>IFERROR(E256/D256,0)</f>
        <v/>
      </c>
      <c r="J256" s="4">
        <f>IFERROR(F256/E256,0)</f>
        <v/>
      </c>
      <c r="K256" s="4">
        <f>IFERROR(G256/C256,0)</f>
        <v/>
      </c>
    </row>
    <row r="257">
      <c r="A257" s="5" t="inlineStr">
        <is>
          <t>2026-02-12</t>
        </is>
      </c>
      <c r="B257" s="5" t="inlineStr">
        <is>
          <t>Email</t>
        </is>
      </c>
      <c r="C257" s="6" t="n">
        <v>135</v>
      </c>
      <c r="D257" s="6" t="n">
        <v>16</v>
      </c>
      <c r="E257" s="6" t="n">
        <v>4</v>
      </c>
      <c r="F257" s="6" t="n">
        <v>1</v>
      </c>
      <c r="G257" s="6" t="n">
        <v>1</v>
      </c>
      <c r="H257" s="7">
        <f>IFERROR(D257/C257,0)</f>
        <v/>
      </c>
      <c r="I257" s="7">
        <f>IFERROR(E257/D257,0)</f>
        <v/>
      </c>
      <c r="J257" s="7">
        <f>IFERROR(F257/E257,0)</f>
        <v/>
      </c>
      <c r="K257" s="7">
        <f>IFERROR(G257/C257,0)</f>
        <v/>
      </c>
    </row>
    <row r="258">
      <c r="A258" s="2" t="inlineStr">
        <is>
          <t>2026-02-12</t>
        </is>
      </c>
      <c r="B258" s="2" t="inlineStr">
        <is>
          <t>Referral</t>
        </is>
      </c>
      <c r="C258" s="3" t="n">
        <v>61</v>
      </c>
      <c r="D258" s="3" t="n">
        <v>10</v>
      </c>
      <c r="E258" s="3" t="n">
        <v>2</v>
      </c>
      <c r="F258" s="3" t="n">
        <v>0</v>
      </c>
      <c r="G258" s="3" t="n">
        <v>1</v>
      </c>
      <c r="H258" s="4">
        <f>IFERROR(D258/C258,0)</f>
        <v/>
      </c>
      <c r="I258" s="4">
        <f>IFERROR(E258/D258,0)</f>
        <v/>
      </c>
      <c r="J258" s="4">
        <f>IFERROR(F258/E258,0)</f>
        <v/>
      </c>
      <c r="K258" s="4">
        <f>IFERROR(G258/C258,0)</f>
        <v/>
      </c>
    </row>
    <row r="259">
      <c r="A259" s="5" t="inlineStr">
        <is>
          <t>2026-02-12</t>
        </is>
      </c>
      <c r="B259" s="5" t="inlineStr">
        <is>
          <t>Direct</t>
        </is>
      </c>
      <c r="C259" s="6" t="n">
        <v>15</v>
      </c>
      <c r="D259" s="6" t="n">
        <v>1</v>
      </c>
      <c r="E259" s="6" t="n">
        <v>0</v>
      </c>
      <c r="F259" s="6" t="n">
        <v>0</v>
      </c>
      <c r="G259" s="6" t="n">
        <v>0</v>
      </c>
      <c r="H259" s="7">
        <f>IFERROR(D259/C259,0)</f>
        <v/>
      </c>
      <c r="I259" s="7">
        <f>IFERROR(E259/D259,0)</f>
        <v/>
      </c>
      <c r="J259" s="7">
        <f>IFERROR(F259/E259,0)</f>
        <v/>
      </c>
      <c r="K259" s="7">
        <f>IFERROR(G259/C259,0)</f>
        <v/>
      </c>
    </row>
    <row r="260">
      <c r="A260" s="2" t="inlineStr">
        <is>
          <t>2026-02-13</t>
        </is>
      </c>
      <c r="B260" s="2" t="inlineStr">
        <is>
          <t>Google Ads</t>
        </is>
      </c>
      <c r="C260" s="3" t="n">
        <v>194</v>
      </c>
      <c r="D260" s="3" t="n">
        <v>16</v>
      </c>
      <c r="E260" s="3" t="n">
        <v>4</v>
      </c>
      <c r="F260" s="3" t="n">
        <v>1</v>
      </c>
      <c r="G260" s="3" t="n">
        <v>1</v>
      </c>
      <c r="H260" s="4">
        <f>IFERROR(D260/C260,0)</f>
        <v/>
      </c>
      <c r="I260" s="4">
        <f>IFERROR(E260/D260,0)</f>
        <v/>
      </c>
      <c r="J260" s="4">
        <f>IFERROR(F260/E260,0)</f>
        <v/>
      </c>
      <c r="K260" s="4">
        <f>IFERROR(G260/C260,0)</f>
        <v/>
      </c>
    </row>
    <row r="261">
      <c r="A261" s="5" t="inlineStr">
        <is>
          <t>2026-02-13</t>
        </is>
      </c>
      <c r="B261" s="5" t="inlineStr">
        <is>
          <t>Facebook Ads</t>
        </is>
      </c>
      <c r="C261" s="6" t="n">
        <v>102</v>
      </c>
      <c r="D261" s="6" t="n">
        <v>4</v>
      </c>
      <c r="E261" s="6" t="n">
        <v>1</v>
      </c>
      <c r="F261" s="6" t="n">
        <v>0</v>
      </c>
      <c r="G261" s="6" t="n">
        <v>0</v>
      </c>
      <c r="H261" s="7">
        <f>IFERROR(D261/C261,0)</f>
        <v/>
      </c>
      <c r="I261" s="7">
        <f>IFERROR(E261/D261,0)</f>
        <v/>
      </c>
      <c r="J261" s="7">
        <f>IFERROR(F261/E261,0)</f>
        <v/>
      </c>
      <c r="K261" s="7">
        <f>IFERROR(G261/C261,0)</f>
        <v/>
      </c>
    </row>
    <row r="262">
      <c r="A262" s="2" t="inlineStr">
        <is>
          <t>2026-02-13</t>
        </is>
      </c>
      <c r="B262" s="2" t="inlineStr">
        <is>
          <t>Organic SEO</t>
        </is>
      </c>
      <c r="C262" s="3" t="n">
        <v>268</v>
      </c>
      <c r="D262" s="3" t="n">
        <v>28</v>
      </c>
      <c r="E262" s="3" t="n">
        <v>8</v>
      </c>
      <c r="F262" s="3" t="n">
        <v>2</v>
      </c>
      <c r="G262" s="3" t="n">
        <v>1</v>
      </c>
      <c r="H262" s="4">
        <f>IFERROR(D262/C262,0)</f>
        <v/>
      </c>
      <c r="I262" s="4">
        <f>IFERROR(E262/D262,0)</f>
        <v/>
      </c>
      <c r="J262" s="4">
        <f>IFERROR(F262/E262,0)</f>
        <v/>
      </c>
      <c r="K262" s="4">
        <f>IFERROR(G262/C262,0)</f>
        <v/>
      </c>
    </row>
    <row r="263">
      <c r="A263" s="5" t="inlineStr">
        <is>
          <t>2026-02-13</t>
        </is>
      </c>
      <c r="B263" s="5" t="inlineStr">
        <is>
          <t>Email</t>
        </is>
      </c>
      <c r="C263" s="6" t="n">
        <v>115</v>
      </c>
      <c r="D263" s="6" t="n">
        <v>13</v>
      </c>
      <c r="E263" s="6" t="n">
        <v>3</v>
      </c>
      <c r="F263" s="6" t="n">
        <v>1</v>
      </c>
      <c r="G263" s="6" t="n">
        <v>1</v>
      </c>
      <c r="H263" s="7">
        <f>IFERROR(D263/C263,0)</f>
        <v/>
      </c>
      <c r="I263" s="7">
        <f>IFERROR(E263/D263,0)</f>
        <v/>
      </c>
      <c r="J263" s="7">
        <f>IFERROR(F263/E263,0)</f>
        <v/>
      </c>
      <c r="K263" s="7">
        <f>IFERROR(G263/C263,0)</f>
        <v/>
      </c>
    </row>
    <row r="264">
      <c r="A264" s="2" t="inlineStr">
        <is>
          <t>2026-02-13</t>
        </is>
      </c>
      <c r="B264" s="2" t="inlineStr">
        <is>
          <t>Referral</t>
        </is>
      </c>
      <c r="C264" s="3" t="n">
        <v>18</v>
      </c>
      <c r="D264" s="3" t="n">
        <v>2</v>
      </c>
      <c r="E264" s="3" t="n">
        <v>0</v>
      </c>
      <c r="F264" s="3" t="n">
        <v>0</v>
      </c>
      <c r="G264" s="3" t="n">
        <v>0</v>
      </c>
      <c r="H264" s="4">
        <f>IFERROR(D264/C264,0)</f>
        <v/>
      </c>
      <c r="I264" s="4">
        <f>IFERROR(E264/D264,0)</f>
        <v/>
      </c>
      <c r="J264" s="4">
        <f>IFERROR(F264/E264,0)</f>
        <v/>
      </c>
      <c r="K264" s="4">
        <f>IFERROR(G264/C264,0)</f>
        <v/>
      </c>
    </row>
    <row r="265">
      <c r="A265" s="5" t="inlineStr">
        <is>
          <t>2026-02-13</t>
        </is>
      </c>
      <c r="B265" s="5" t="inlineStr">
        <is>
          <t>Direct</t>
        </is>
      </c>
      <c r="C265" s="6" t="n">
        <v>75</v>
      </c>
      <c r="D265" s="6" t="n">
        <v>4</v>
      </c>
      <c r="E265" s="6" t="n">
        <v>0</v>
      </c>
      <c r="F265" s="6" t="n">
        <v>0</v>
      </c>
      <c r="G265" s="6" t="n">
        <v>0</v>
      </c>
      <c r="H265" s="7">
        <f>IFERROR(D265/C265,0)</f>
        <v/>
      </c>
      <c r="I265" s="7">
        <f>IFERROR(E265/D265,0)</f>
        <v/>
      </c>
      <c r="J265" s="7">
        <f>IFERROR(F265/E265,0)</f>
        <v/>
      </c>
      <c r="K265" s="7">
        <f>IFERROR(G265/C265,0)</f>
        <v/>
      </c>
    </row>
    <row r="266">
      <c r="A266" s="2" t="inlineStr">
        <is>
          <t>2026-02-14</t>
        </is>
      </c>
      <c r="B266" s="2" t="inlineStr">
        <is>
          <t>Google Ads</t>
        </is>
      </c>
      <c r="C266" s="3" t="n">
        <v>222</v>
      </c>
      <c r="D266" s="3" t="n">
        <v>20</v>
      </c>
      <c r="E266" s="3" t="n">
        <v>4</v>
      </c>
      <c r="F266" s="3" t="n">
        <v>1</v>
      </c>
      <c r="G266" s="3" t="n">
        <v>0</v>
      </c>
      <c r="H266" s="4">
        <f>IFERROR(D266/C266,0)</f>
        <v/>
      </c>
      <c r="I266" s="4">
        <f>IFERROR(E266/D266,0)</f>
        <v/>
      </c>
      <c r="J266" s="4">
        <f>IFERROR(F266/E266,0)</f>
        <v/>
      </c>
      <c r="K266" s="4">
        <f>IFERROR(G266/C266,0)</f>
        <v/>
      </c>
    </row>
    <row r="267">
      <c r="A267" s="5" t="inlineStr">
        <is>
          <t>2026-02-14</t>
        </is>
      </c>
      <c r="B267" s="5" t="inlineStr">
        <is>
          <t>Facebook Ads</t>
        </is>
      </c>
      <c r="C267" s="6" t="n">
        <v>177</v>
      </c>
      <c r="D267" s="6" t="n">
        <v>4</v>
      </c>
      <c r="E267" s="6" t="n">
        <v>0</v>
      </c>
      <c r="F267" s="6" t="n">
        <v>0</v>
      </c>
      <c r="G267" s="6" t="n">
        <v>0</v>
      </c>
      <c r="H267" s="7">
        <f>IFERROR(D267/C267,0)</f>
        <v/>
      </c>
      <c r="I267" s="7">
        <f>IFERROR(E267/D267,0)</f>
        <v/>
      </c>
      <c r="J267" s="7">
        <f>IFERROR(F267/E267,0)</f>
        <v/>
      </c>
      <c r="K267" s="7">
        <f>IFERROR(G267/C267,0)</f>
        <v/>
      </c>
    </row>
    <row r="268">
      <c r="A268" s="2" t="inlineStr">
        <is>
          <t>2026-02-14</t>
        </is>
      </c>
      <c r="B268" s="2" t="inlineStr">
        <is>
          <t>Organic SEO</t>
        </is>
      </c>
      <c r="C268" s="3" t="n">
        <v>260</v>
      </c>
      <c r="D268" s="3" t="n">
        <v>23</v>
      </c>
      <c r="E268" s="3" t="n">
        <v>6</v>
      </c>
      <c r="F268" s="3" t="n">
        <v>2</v>
      </c>
      <c r="G268" s="3" t="n">
        <v>1</v>
      </c>
      <c r="H268" s="4">
        <f>IFERROR(D268/C268,0)</f>
        <v/>
      </c>
      <c r="I268" s="4">
        <f>IFERROR(E268/D268,0)</f>
        <v/>
      </c>
      <c r="J268" s="4">
        <f>IFERROR(F268/E268,0)</f>
        <v/>
      </c>
      <c r="K268" s="4">
        <f>IFERROR(G268/C268,0)</f>
        <v/>
      </c>
    </row>
    <row r="269">
      <c r="A269" s="5" t="inlineStr">
        <is>
          <t>2026-02-14</t>
        </is>
      </c>
      <c r="B269" s="5" t="inlineStr">
        <is>
          <t>Email</t>
        </is>
      </c>
      <c r="C269" s="6" t="n">
        <v>112</v>
      </c>
      <c r="D269" s="6" t="n">
        <v>14</v>
      </c>
      <c r="E269" s="6" t="n">
        <v>3</v>
      </c>
      <c r="F269" s="6" t="n">
        <v>1</v>
      </c>
      <c r="G269" s="6" t="n">
        <v>1</v>
      </c>
      <c r="H269" s="7">
        <f>IFERROR(D269/C269,0)</f>
        <v/>
      </c>
      <c r="I269" s="7">
        <f>IFERROR(E269/D269,0)</f>
        <v/>
      </c>
      <c r="J269" s="7">
        <f>IFERROR(F269/E269,0)</f>
        <v/>
      </c>
      <c r="K269" s="7">
        <f>IFERROR(G269/C269,0)</f>
        <v/>
      </c>
    </row>
    <row r="270">
      <c r="A270" s="2" t="inlineStr">
        <is>
          <t>2026-02-14</t>
        </is>
      </c>
      <c r="B270" s="2" t="inlineStr">
        <is>
          <t>Referral</t>
        </is>
      </c>
      <c r="C270" s="3" t="n">
        <v>30</v>
      </c>
      <c r="D270" s="3" t="n">
        <v>3</v>
      </c>
      <c r="E270" s="3" t="n">
        <v>0</v>
      </c>
      <c r="F270" s="3" t="n">
        <v>0</v>
      </c>
      <c r="G270" s="3" t="n">
        <v>0</v>
      </c>
      <c r="H270" s="4">
        <f>IFERROR(D270/C270,0)</f>
        <v/>
      </c>
      <c r="I270" s="4">
        <f>IFERROR(E270/D270,0)</f>
        <v/>
      </c>
      <c r="J270" s="4">
        <f>IFERROR(F270/E270,0)</f>
        <v/>
      </c>
      <c r="K270" s="4">
        <f>IFERROR(G270/C270,0)</f>
        <v/>
      </c>
    </row>
    <row r="271">
      <c r="A271" s="5" t="inlineStr">
        <is>
          <t>2026-02-14</t>
        </is>
      </c>
      <c r="B271" s="5" t="inlineStr">
        <is>
          <t>Direct</t>
        </is>
      </c>
      <c r="C271" s="6" t="n">
        <v>45</v>
      </c>
      <c r="D271" s="6" t="n">
        <v>3</v>
      </c>
      <c r="E271" s="6" t="n">
        <v>0</v>
      </c>
      <c r="F271" s="6" t="n">
        <v>0</v>
      </c>
      <c r="G271" s="6" t="n">
        <v>0</v>
      </c>
      <c r="H271" s="7">
        <f>IFERROR(D271/C271,0)</f>
        <v/>
      </c>
      <c r="I271" s="7">
        <f>IFERROR(E271/D271,0)</f>
        <v/>
      </c>
      <c r="J271" s="7">
        <f>IFERROR(F271/E271,0)</f>
        <v/>
      </c>
      <c r="K271" s="7">
        <f>IFERROR(G271/C271,0)</f>
        <v/>
      </c>
    </row>
    <row r="272">
      <c r="A272" s="2" t="inlineStr">
        <is>
          <t>2026-02-15</t>
        </is>
      </c>
      <c r="B272" s="2" t="inlineStr">
        <is>
          <t>Google Ads</t>
        </is>
      </c>
      <c r="C272" s="3" t="n">
        <v>144</v>
      </c>
      <c r="D272" s="3" t="n">
        <v>8</v>
      </c>
      <c r="E272" s="3" t="n">
        <v>1</v>
      </c>
      <c r="F272" s="3" t="n">
        <v>0</v>
      </c>
      <c r="G272" s="3" t="n">
        <v>0</v>
      </c>
      <c r="H272" s="4">
        <f>IFERROR(D272/C272,0)</f>
        <v/>
      </c>
      <c r="I272" s="4">
        <f>IFERROR(E272/D272,0)</f>
        <v/>
      </c>
      <c r="J272" s="4">
        <f>IFERROR(F272/E272,0)</f>
        <v/>
      </c>
      <c r="K272" s="4">
        <f>IFERROR(G272/C272,0)</f>
        <v/>
      </c>
    </row>
    <row r="273">
      <c r="A273" s="5" t="inlineStr">
        <is>
          <t>2026-02-15</t>
        </is>
      </c>
      <c r="B273" s="5" t="inlineStr">
        <is>
          <t>Facebook Ads</t>
        </is>
      </c>
      <c r="C273" s="6" t="n">
        <v>111</v>
      </c>
      <c r="D273" s="6" t="n">
        <v>4</v>
      </c>
      <c r="E273" s="6" t="n">
        <v>1</v>
      </c>
      <c r="F273" s="6" t="n">
        <v>0</v>
      </c>
      <c r="G273" s="6" t="n">
        <v>0</v>
      </c>
      <c r="H273" s="7">
        <f>IFERROR(D273/C273,0)</f>
        <v/>
      </c>
      <c r="I273" s="7">
        <f>IFERROR(E273/D273,0)</f>
        <v/>
      </c>
      <c r="J273" s="7">
        <f>IFERROR(F273/E273,0)</f>
        <v/>
      </c>
      <c r="K273" s="7">
        <f>IFERROR(G273/C273,0)</f>
        <v/>
      </c>
    </row>
    <row r="274">
      <c r="A274" s="2" t="inlineStr">
        <is>
          <t>2026-02-15</t>
        </is>
      </c>
      <c r="B274" s="2" t="inlineStr">
        <is>
          <t>Organic SEO</t>
        </is>
      </c>
      <c r="C274" s="3" t="n">
        <v>274</v>
      </c>
      <c r="D274" s="3" t="n">
        <v>28</v>
      </c>
      <c r="E274" s="3" t="n">
        <v>7</v>
      </c>
      <c r="F274" s="3" t="n">
        <v>2</v>
      </c>
      <c r="G274" s="3" t="n">
        <v>1</v>
      </c>
      <c r="H274" s="4">
        <f>IFERROR(D274/C274,0)</f>
        <v/>
      </c>
      <c r="I274" s="4">
        <f>IFERROR(E274/D274,0)</f>
        <v/>
      </c>
      <c r="J274" s="4">
        <f>IFERROR(F274/E274,0)</f>
        <v/>
      </c>
      <c r="K274" s="4">
        <f>IFERROR(G274/C274,0)</f>
        <v/>
      </c>
    </row>
    <row r="275">
      <c r="A275" s="5" t="inlineStr">
        <is>
          <t>2026-02-15</t>
        </is>
      </c>
      <c r="B275" s="5" t="inlineStr">
        <is>
          <t>Email</t>
        </is>
      </c>
      <c r="C275" s="6" t="n">
        <v>81</v>
      </c>
      <c r="D275" s="6" t="n">
        <v>10</v>
      </c>
      <c r="E275" s="6" t="n">
        <v>2</v>
      </c>
      <c r="F275" s="6" t="n">
        <v>0</v>
      </c>
      <c r="G275" s="6" t="n">
        <v>1</v>
      </c>
      <c r="H275" s="7">
        <f>IFERROR(D275/C275,0)</f>
        <v/>
      </c>
      <c r="I275" s="7">
        <f>IFERROR(E275/D275,0)</f>
        <v/>
      </c>
      <c r="J275" s="7">
        <f>IFERROR(F275/E275,0)</f>
        <v/>
      </c>
      <c r="K275" s="7">
        <f>IFERROR(G275/C275,0)</f>
        <v/>
      </c>
    </row>
    <row r="276">
      <c r="A276" s="2" t="inlineStr">
        <is>
          <t>2026-02-15</t>
        </is>
      </c>
      <c r="B276" s="2" t="inlineStr">
        <is>
          <t>Referral</t>
        </is>
      </c>
      <c r="C276" s="3" t="n">
        <v>33</v>
      </c>
      <c r="D276" s="3" t="n">
        <v>5</v>
      </c>
      <c r="E276" s="3" t="n">
        <v>1</v>
      </c>
      <c r="F276" s="3" t="n">
        <v>0</v>
      </c>
      <c r="G276" s="3" t="n">
        <v>0</v>
      </c>
      <c r="H276" s="4">
        <f>IFERROR(D276/C276,0)</f>
        <v/>
      </c>
      <c r="I276" s="4">
        <f>IFERROR(E276/D276,0)</f>
        <v/>
      </c>
      <c r="J276" s="4">
        <f>IFERROR(F276/E276,0)</f>
        <v/>
      </c>
      <c r="K276" s="4">
        <f>IFERROR(G276/C276,0)</f>
        <v/>
      </c>
    </row>
    <row r="277">
      <c r="A277" s="5" t="inlineStr">
        <is>
          <t>2026-02-15</t>
        </is>
      </c>
      <c r="B277" s="5" t="inlineStr">
        <is>
          <t>Direct</t>
        </is>
      </c>
      <c r="C277" s="6" t="n">
        <v>100</v>
      </c>
      <c r="D277" s="6" t="n">
        <v>6</v>
      </c>
      <c r="E277" s="6" t="n">
        <v>1</v>
      </c>
      <c r="F277" s="6" t="n">
        <v>0</v>
      </c>
      <c r="G277" s="6" t="n">
        <v>0</v>
      </c>
      <c r="H277" s="7">
        <f>IFERROR(D277/C277,0)</f>
        <v/>
      </c>
      <c r="I277" s="7">
        <f>IFERROR(E277/D277,0)</f>
        <v/>
      </c>
      <c r="J277" s="7">
        <f>IFERROR(F277/E277,0)</f>
        <v/>
      </c>
      <c r="K277" s="7">
        <f>IFERROR(G277/C277,0)</f>
        <v/>
      </c>
    </row>
    <row r="278">
      <c r="A278" s="2" t="inlineStr">
        <is>
          <t>2026-02-16</t>
        </is>
      </c>
      <c r="B278" s="2" t="inlineStr">
        <is>
          <t>Google Ads</t>
        </is>
      </c>
      <c r="C278" s="3" t="n">
        <v>187</v>
      </c>
      <c r="D278" s="3" t="n">
        <v>18</v>
      </c>
      <c r="E278" s="3" t="n">
        <v>5</v>
      </c>
      <c r="F278" s="3" t="n">
        <v>2</v>
      </c>
      <c r="G278" s="3" t="n">
        <v>0</v>
      </c>
      <c r="H278" s="4">
        <f>IFERROR(D278/C278,0)</f>
        <v/>
      </c>
      <c r="I278" s="4">
        <f>IFERROR(E278/D278,0)</f>
        <v/>
      </c>
      <c r="J278" s="4">
        <f>IFERROR(F278/E278,0)</f>
        <v/>
      </c>
      <c r="K278" s="4">
        <f>IFERROR(G278/C278,0)</f>
        <v/>
      </c>
    </row>
    <row r="279">
      <c r="A279" s="5" t="inlineStr">
        <is>
          <t>2026-02-16</t>
        </is>
      </c>
      <c r="B279" s="5" t="inlineStr">
        <is>
          <t>Facebook Ads</t>
        </is>
      </c>
      <c r="C279" s="6" t="n">
        <v>106</v>
      </c>
      <c r="D279" s="6" t="n">
        <v>4</v>
      </c>
      <c r="E279" s="6" t="n">
        <v>0</v>
      </c>
      <c r="F279" s="6" t="n">
        <v>0</v>
      </c>
      <c r="G279" s="6" t="n">
        <v>0</v>
      </c>
      <c r="H279" s="7">
        <f>IFERROR(D279/C279,0)</f>
        <v/>
      </c>
      <c r="I279" s="7">
        <f>IFERROR(E279/D279,0)</f>
        <v/>
      </c>
      <c r="J279" s="7">
        <f>IFERROR(F279/E279,0)</f>
        <v/>
      </c>
      <c r="K279" s="7">
        <f>IFERROR(G279/C279,0)</f>
        <v/>
      </c>
    </row>
    <row r="280">
      <c r="A280" s="2" t="inlineStr">
        <is>
          <t>2026-02-16</t>
        </is>
      </c>
      <c r="B280" s="2" t="inlineStr">
        <is>
          <t>Organic SEO</t>
        </is>
      </c>
      <c r="C280" s="3" t="n">
        <v>266</v>
      </c>
      <c r="D280" s="3" t="n">
        <v>22</v>
      </c>
      <c r="E280" s="3" t="n">
        <v>6</v>
      </c>
      <c r="F280" s="3" t="n">
        <v>2</v>
      </c>
      <c r="G280" s="3" t="n">
        <v>1</v>
      </c>
      <c r="H280" s="4">
        <f>IFERROR(D280/C280,0)</f>
        <v/>
      </c>
      <c r="I280" s="4">
        <f>IFERROR(E280/D280,0)</f>
        <v/>
      </c>
      <c r="J280" s="4">
        <f>IFERROR(F280/E280,0)</f>
        <v/>
      </c>
      <c r="K280" s="4">
        <f>IFERROR(G280/C280,0)</f>
        <v/>
      </c>
    </row>
    <row r="281">
      <c r="A281" s="5" t="inlineStr">
        <is>
          <t>2026-02-16</t>
        </is>
      </c>
      <c r="B281" s="5" t="inlineStr">
        <is>
          <t>Email</t>
        </is>
      </c>
      <c r="C281" s="6" t="n">
        <v>117</v>
      </c>
      <c r="D281" s="6" t="n">
        <v>16</v>
      </c>
      <c r="E281" s="6" t="n">
        <v>4</v>
      </c>
      <c r="F281" s="6" t="n">
        <v>1</v>
      </c>
      <c r="G281" s="6" t="n">
        <v>1</v>
      </c>
      <c r="H281" s="7">
        <f>IFERROR(D281/C281,0)</f>
        <v/>
      </c>
      <c r="I281" s="7">
        <f>IFERROR(E281/D281,0)</f>
        <v/>
      </c>
      <c r="J281" s="7">
        <f>IFERROR(F281/E281,0)</f>
        <v/>
      </c>
      <c r="K281" s="7">
        <f>IFERROR(G281/C281,0)</f>
        <v/>
      </c>
    </row>
    <row r="282">
      <c r="A282" s="2" t="inlineStr">
        <is>
          <t>2026-02-16</t>
        </is>
      </c>
      <c r="B282" s="2" t="inlineStr">
        <is>
          <t>Referral</t>
        </is>
      </c>
      <c r="C282" s="3" t="n">
        <v>34</v>
      </c>
      <c r="D282" s="3" t="n">
        <v>4</v>
      </c>
      <c r="E282" s="3" t="n">
        <v>1</v>
      </c>
      <c r="F282" s="3" t="n">
        <v>0</v>
      </c>
      <c r="G282" s="3" t="n">
        <v>0</v>
      </c>
      <c r="H282" s="4">
        <f>IFERROR(D282/C282,0)</f>
        <v/>
      </c>
      <c r="I282" s="4">
        <f>IFERROR(E282/D282,0)</f>
        <v/>
      </c>
      <c r="J282" s="4">
        <f>IFERROR(F282/E282,0)</f>
        <v/>
      </c>
      <c r="K282" s="4">
        <f>IFERROR(G282/C282,0)</f>
        <v/>
      </c>
    </row>
    <row r="283">
      <c r="A283" s="5" t="inlineStr">
        <is>
          <t>2026-02-16</t>
        </is>
      </c>
      <c r="B283" s="5" t="inlineStr">
        <is>
          <t>Direct</t>
        </is>
      </c>
      <c r="C283" s="6" t="n">
        <v>100</v>
      </c>
      <c r="D283" s="6" t="n">
        <v>8</v>
      </c>
      <c r="E283" s="6" t="n">
        <v>2</v>
      </c>
      <c r="F283" s="6" t="n">
        <v>0</v>
      </c>
      <c r="G283" s="6" t="n">
        <v>0</v>
      </c>
      <c r="H283" s="7">
        <f>IFERROR(D283/C283,0)</f>
        <v/>
      </c>
      <c r="I283" s="7">
        <f>IFERROR(E283/D283,0)</f>
        <v/>
      </c>
      <c r="J283" s="7">
        <f>IFERROR(F283/E283,0)</f>
        <v/>
      </c>
      <c r="K283" s="7">
        <f>IFERROR(G283/C283,0)</f>
        <v/>
      </c>
    </row>
    <row r="284">
      <c r="A284" s="2" t="inlineStr">
        <is>
          <t>2026-02-17</t>
        </is>
      </c>
      <c r="B284" s="2" t="inlineStr">
        <is>
          <t>Google Ads</t>
        </is>
      </c>
      <c r="C284" s="3" t="n">
        <v>156</v>
      </c>
      <c r="D284" s="3" t="n">
        <v>13</v>
      </c>
      <c r="E284" s="3" t="n">
        <v>3</v>
      </c>
      <c r="F284" s="3" t="n">
        <v>1</v>
      </c>
      <c r="G284" s="3" t="n">
        <v>0</v>
      </c>
      <c r="H284" s="4">
        <f>IFERROR(D284/C284,0)</f>
        <v/>
      </c>
      <c r="I284" s="4">
        <f>IFERROR(E284/D284,0)</f>
        <v/>
      </c>
      <c r="J284" s="4">
        <f>IFERROR(F284/E284,0)</f>
        <v/>
      </c>
      <c r="K284" s="4">
        <f>IFERROR(G284/C284,0)</f>
        <v/>
      </c>
    </row>
    <row r="285">
      <c r="A285" s="5" t="inlineStr">
        <is>
          <t>2026-02-17</t>
        </is>
      </c>
      <c r="B285" s="5" t="inlineStr">
        <is>
          <t>Facebook Ads</t>
        </is>
      </c>
      <c r="C285" s="6" t="n">
        <v>167</v>
      </c>
      <c r="D285" s="6" t="n">
        <v>3</v>
      </c>
      <c r="E285" s="6" t="n">
        <v>0</v>
      </c>
      <c r="F285" s="6" t="n">
        <v>0</v>
      </c>
      <c r="G285" s="6" t="n">
        <v>0</v>
      </c>
      <c r="H285" s="7">
        <f>IFERROR(D285/C285,0)</f>
        <v/>
      </c>
      <c r="I285" s="7">
        <f>IFERROR(E285/D285,0)</f>
        <v/>
      </c>
      <c r="J285" s="7">
        <f>IFERROR(F285/E285,0)</f>
        <v/>
      </c>
      <c r="K285" s="7">
        <f>IFERROR(G285/C285,0)</f>
        <v/>
      </c>
    </row>
    <row r="286">
      <c r="A286" s="2" t="inlineStr">
        <is>
          <t>2026-02-17</t>
        </is>
      </c>
      <c r="B286" s="2" t="inlineStr">
        <is>
          <t>Organic SEO</t>
        </is>
      </c>
      <c r="C286" s="3" t="n">
        <v>219</v>
      </c>
      <c r="D286" s="3" t="n">
        <v>16</v>
      </c>
      <c r="E286" s="3" t="n">
        <v>4</v>
      </c>
      <c r="F286" s="3" t="n">
        <v>1</v>
      </c>
      <c r="G286" s="3" t="n">
        <v>0</v>
      </c>
      <c r="H286" s="4">
        <f>IFERROR(D286/C286,0)</f>
        <v/>
      </c>
      <c r="I286" s="4">
        <f>IFERROR(E286/D286,0)</f>
        <v/>
      </c>
      <c r="J286" s="4">
        <f>IFERROR(F286/E286,0)</f>
        <v/>
      </c>
      <c r="K286" s="4">
        <f>IFERROR(G286/C286,0)</f>
        <v/>
      </c>
    </row>
    <row r="287">
      <c r="A287" s="5" t="inlineStr">
        <is>
          <t>2026-02-17</t>
        </is>
      </c>
      <c r="B287" s="5" t="inlineStr">
        <is>
          <t>Email</t>
        </is>
      </c>
      <c r="C287" s="6" t="n">
        <v>68</v>
      </c>
      <c r="D287" s="6" t="n">
        <v>10</v>
      </c>
      <c r="E287" s="6" t="n">
        <v>2</v>
      </c>
      <c r="F287" s="6" t="n">
        <v>0</v>
      </c>
      <c r="G287" s="6" t="n">
        <v>0</v>
      </c>
      <c r="H287" s="7">
        <f>IFERROR(D287/C287,0)</f>
        <v/>
      </c>
      <c r="I287" s="7">
        <f>IFERROR(E287/D287,0)</f>
        <v/>
      </c>
      <c r="J287" s="7">
        <f>IFERROR(F287/E287,0)</f>
        <v/>
      </c>
      <c r="K287" s="7">
        <f>IFERROR(G287/C287,0)</f>
        <v/>
      </c>
    </row>
    <row r="288">
      <c r="A288" s="2" t="inlineStr">
        <is>
          <t>2026-02-17</t>
        </is>
      </c>
      <c r="B288" s="2" t="inlineStr">
        <is>
          <t>Referral</t>
        </is>
      </c>
      <c r="C288" s="3" t="n">
        <v>54</v>
      </c>
      <c r="D288" s="3" t="n">
        <v>8</v>
      </c>
      <c r="E288" s="3" t="n">
        <v>2</v>
      </c>
      <c r="F288" s="3" t="n">
        <v>0</v>
      </c>
      <c r="G288" s="3" t="n">
        <v>1</v>
      </c>
      <c r="H288" s="4">
        <f>IFERROR(D288/C288,0)</f>
        <v/>
      </c>
      <c r="I288" s="4">
        <f>IFERROR(E288/D288,0)</f>
        <v/>
      </c>
      <c r="J288" s="4">
        <f>IFERROR(F288/E288,0)</f>
        <v/>
      </c>
      <c r="K288" s="4">
        <f>IFERROR(G288/C288,0)</f>
        <v/>
      </c>
    </row>
    <row r="289">
      <c r="A289" s="5" t="inlineStr">
        <is>
          <t>2026-02-17</t>
        </is>
      </c>
      <c r="B289" s="5" t="inlineStr">
        <is>
          <t>Direct</t>
        </is>
      </c>
      <c r="C289" s="6" t="n">
        <v>53</v>
      </c>
      <c r="D289" s="6" t="n">
        <v>4</v>
      </c>
      <c r="E289" s="6" t="n">
        <v>1</v>
      </c>
      <c r="F289" s="6" t="n">
        <v>0</v>
      </c>
      <c r="G289" s="6" t="n">
        <v>0</v>
      </c>
      <c r="H289" s="7">
        <f>IFERROR(D289/C289,0)</f>
        <v/>
      </c>
      <c r="I289" s="7">
        <f>IFERROR(E289/D289,0)</f>
        <v/>
      </c>
      <c r="J289" s="7">
        <f>IFERROR(F289/E289,0)</f>
        <v/>
      </c>
      <c r="K289" s="7">
        <f>IFERROR(G289/C289,0)</f>
        <v/>
      </c>
    </row>
    <row r="290">
      <c r="A290" s="2" t="inlineStr">
        <is>
          <t>2026-02-18</t>
        </is>
      </c>
      <c r="B290" s="2" t="inlineStr">
        <is>
          <t>Google Ads</t>
        </is>
      </c>
      <c r="C290" s="3" t="n">
        <v>163</v>
      </c>
      <c r="D290" s="3" t="n">
        <v>15</v>
      </c>
      <c r="E290" s="3" t="n">
        <v>4</v>
      </c>
      <c r="F290" s="3" t="n">
        <v>1</v>
      </c>
      <c r="G290" s="3" t="n">
        <v>1</v>
      </c>
      <c r="H290" s="4">
        <f>IFERROR(D290/C290,0)</f>
        <v/>
      </c>
      <c r="I290" s="4">
        <f>IFERROR(E290/D290,0)</f>
        <v/>
      </c>
      <c r="J290" s="4">
        <f>IFERROR(F290/E290,0)</f>
        <v/>
      </c>
      <c r="K290" s="4">
        <f>IFERROR(G290/C290,0)</f>
        <v/>
      </c>
    </row>
    <row r="291">
      <c r="A291" s="5" t="inlineStr">
        <is>
          <t>2026-02-18</t>
        </is>
      </c>
      <c r="B291" s="5" t="inlineStr">
        <is>
          <t>Facebook Ads</t>
        </is>
      </c>
      <c r="C291" s="6" t="n">
        <v>156</v>
      </c>
      <c r="D291" s="6" t="n">
        <v>3</v>
      </c>
      <c r="E291" s="6" t="n">
        <v>0</v>
      </c>
      <c r="F291" s="6" t="n">
        <v>0</v>
      </c>
      <c r="G291" s="6" t="n">
        <v>0</v>
      </c>
      <c r="H291" s="7">
        <f>IFERROR(D291/C291,0)</f>
        <v/>
      </c>
      <c r="I291" s="7">
        <f>IFERROR(E291/D291,0)</f>
        <v/>
      </c>
      <c r="J291" s="7">
        <f>IFERROR(F291/E291,0)</f>
        <v/>
      </c>
      <c r="K291" s="7">
        <f>IFERROR(G291/C291,0)</f>
        <v/>
      </c>
    </row>
    <row r="292">
      <c r="A292" s="2" t="inlineStr">
        <is>
          <t>2026-02-18</t>
        </is>
      </c>
      <c r="B292" s="2" t="inlineStr">
        <is>
          <t>Organic SEO</t>
        </is>
      </c>
      <c r="C292" s="3" t="n">
        <v>258</v>
      </c>
      <c r="D292" s="3" t="n">
        <v>21</v>
      </c>
      <c r="E292" s="3" t="n">
        <v>5</v>
      </c>
      <c r="F292" s="3" t="n">
        <v>2</v>
      </c>
      <c r="G292" s="3" t="n">
        <v>1</v>
      </c>
      <c r="H292" s="4">
        <f>IFERROR(D292/C292,0)</f>
        <v/>
      </c>
      <c r="I292" s="4">
        <f>IFERROR(E292/D292,0)</f>
        <v/>
      </c>
      <c r="J292" s="4">
        <f>IFERROR(F292/E292,0)</f>
        <v/>
      </c>
      <c r="K292" s="4">
        <f>IFERROR(G292/C292,0)</f>
        <v/>
      </c>
    </row>
    <row r="293">
      <c r="A293" s="5" t="inlineStr">
        <is>
          <t>2026-02-18</t>
        </is>
      </c>
      <c r="B293" s="5" t="inlineStr">
        <is>
          <t>Email</t>
        </is>
      </c>
      <c r="C293" s="6" t="n">
        <v>79</v>
      </c>
      <c r="D293" s="6" t="n">
        <v>11</v>
      </c>
      <c r="E293" s="6" t="n">
        <v>3</v>
      </c>
      <c r="F293" s="6" t="n">
        <v>1</v>
      </c>
      <c r="G293" s="6" t="n">
        <v>1</v>
      </c>
      <c r="H293" s="7">
        <f>IFERROR(D293/C293,0)</f>
        <v/>
      </c>
      <c r="I293" s="7">
        <f>IFERROR(E293/D293,0)</f>
        <v/>
      </c>
      <c r="J293" s="7">
        <f>IFERROR(F293/E293,0)</f>
        <v/>
      </c>
      <c r="K293" s="7">
        <f>IFERROR(G293/C293,0)</f>
        <v/>
      </c>
    </row>
    <row r="294">
      <c r="A294" s="2" t="inlineStr">
        <is>
          <t>2026-02-18</t>
        </is>
      </c>
      <c r="B294" s="2" t="inlineStr">
        <is>
          <t>Referral</t>
        </is>
      </c>
      <c r="C294" s="3" t="n">
        <v>76</v>
      </c>
      <c r="D294" s="3" t="n">
        <v>13</v>
      </c>
      <c r="E294" s="3" t="n">
        <v>3</v>
      </c>
      <c r="F294" s="3" t="n">
        <v>1</v>
      </c>
      <c r="G294" s="3" t="n">
        <v>2</v>
      </c>
      <c r="H294" s="4">
        <f>IFERROR(D294/C294,0)</f>
        <v/>
      </c>
      <c r="I294" s="4">
        <f>IFERROR(E294/D294,0)</f>
        <v/>
      </c>
      <c r="J294" s="4">
        <f>IFERROR(F294/E294,0)</f>
        <v/>
      </c>
      <c r="K294" s="4">
        <f>IFERROR(G294/C294,0)</f>
        <v/>
      </c>
    </row>
    <row r="295">
      <c r="A295" s="5" t="inlineStr">
        <is>
          <t>2026-02-18</t>
        </is>
      </c>
      <c r="B295" s="5" t="inlineStr">
        <is>
          <t>Direct</t>
        </is>
      </c>
      <c r="C295" s="6" t="n">
        <v>58</v>
      </c>
      <c r="D295" s="6" t="n">
        <v>4</v>
      </c>
      <c r="E295" s="6" t="n">
        <v>0</v>
      </c>
      <c r="F295" s="6" t="n">
        <v>0</v>
      </c>
      <c r="G295" s="6" t="n">
        <v>0</v>
      </c>
      <c r="H295" s="7">
        <f>IFERROR(D295/C295,0)</f>
        <v/>
      </c>
      <c r="I295" s="7">
        <f>IFERROR(E295/D295,0)</f>
        <v/>
      </c>
      <c r="J295" s="7">
        <f>IFERROR(F295/E295,0)</f>
        <v/>
      </c>
      <c r="K295" s="7">
        <f>IFERROR(G295/C295,0)</f>
        <v/>
      </c>
    </row>
    <row r="296">
      <c r="A296" s="2" t="inlineStr">
        <is>
          <t>2026-02-19</t>
        </is>
      </c>
      <c r="B296" s="2" t="inlineStr">
        <is>
          <t>Google Ads</t>
        </is>
      </c>
      <c r="C296" s="3" t="n">
        <v>217</v>
      </c>
      <c r="D296" s="3" t="n">
        <v>14</v>
      </c>
      <c r="E296" s="3" t="n">
        <v>3</v>
      </c>
      <c r="F296" s="3" t="n">
        <v>1</v>
      </c>
      <c r="G296" s="3" t="n">
        <v>0</v>
      </c>
      <c r="H296" s="4">
        <f>IFERROR(D296/C296,0)</f>
        <v/>
      </c>
      <c r="I296" s="4">
        <f>IFERROR(E296/D296,0)</f>
        <v/>
      </c>
      <c r="J296" s="4">
        <f>IFERROR(F296/E296,0)</f>
        <v/>
      </c>
      <c r="K296" s="4">
        <f>IFERROR(G296/C296,0)</f>
        <v/>
      </c>
    </row>
    <row r="297">
      <c r="A297" s="5" t="inlineStr">
        <is>
          <t>2026-02-19</t>
        </is>
      </c>
      <c r="B297" s="5" t="inlineStr">
        <is>
          <t>Facebook Ads</t>
        </is>
      </c>
      <c r="C297" s="6" t="n">
        <v>170</v>
      </c>
      <c r="D297" s="6" t="n">
        <v>8</v>
      </c>
      <c r="E297" s="6" t="n">
        <v>2</v>
      </c>
      <c r="F297" s="6" t="n">
        <v>0</v>
      </c>
      <c r="G297" s="6" t="n">
        <v>0</v>
      </c>
      <c r="H297" s="7">
        <f>IFERROR(D297/C297,0)</f>
        <v/>
      </c>
      <c r="I297" s="7">
        <f>IFERROR(E297/D297,0)</f>
        <v/>
      </c>
      <c r="J297" s="7">
        <f>IFERROR(F297/E297,0)</f>
        <v/>
      </c>
      <c r="K297" s="7">
        <f>IFERROR(G297/C297,0)</f>
        <v/>
      </c>
    </row>
    <row r="298">
      <c r="A298" s="2" t="inlineStr">
        <is>
          <t>2026-02-19</t>
        </is>
      </c>
      <c r="B298" s="2" t="inlineStr">
        <is>
          <t>Organic SEO</t>
        </is>
      </c>
      <c r="C298" s="3" t="n">
        <v>190</v>
      </c>
      <c r="D298" s="3" t="n">
        <v>19</v>
      </c>
      <c r="E298" s="3" t="n">
        <v>5</v>
      </c>
      <c r="F298" s="3" t="n">
        <v>1</v>
      </c>
      <c r="G298" s="3" t="n">
        <v>1</v>
      </c>
      <c r="H298" s="4">
        <f>IFERROR(D298/C298,0)</f>
        <v/>
      </c>
      <c r="I298" s="4">
        <f>IFERROR(E298/D298,0)</f>
        <v/>
      </c>
      <c r="J298" s="4">
        <f>IFERROR(F298/E298,0)</f>
        <v/>
      </c>
      <c r="K298" s="4">
        <f>IFERROR(G298/C298,0)</f>
        <v/>
      </c>
    </row>
    <row r="299">
      <c r="A299" s="5" t="inlineStr">
        <is>
          <t>2026-02-19</t>
        </is>
      </c>
      <c r="B299" s="5" t="inlineStr">
        <is>
          <t>Email</t>
        </is>
      </c>
      <c r="C299" s="6" t="n">
        <v>95</v>
      </c>
      <c r="D299" s="6" t="n">
        <v>9</v>
      </c>
      <c r="E299" s="6" t="n">
        <v>2</v>
      </c>
      <c r="F299" s="6" t="n">
        <v>0</v>
      </c>
      <c r="G299" s="6" t="n">
        <v>1</v>
      </c>
      <c r="H299" s="7">
        <f>IFERROR(D299/C299,0)</f>
        <v/>
      </c>
      <c r="I299" s="7">
        <f>IFERROR(E299/D299,0)</f>
        <v/>
      </c>
      <c r="J299" s="7">
        <f>IFERROR(F299/E299,0)</f>
        <v/>
      </c>
      <c r="K299" s="7">
        <f>IFERROR(G299/C299,0)</f>
        <v/>
      </c>
    </row>
    <row r="300">
      <c r="A300" s="2" t="inlineStr">
        <is>
          <t>2026-02-19</t>
        </is>
      </c>
      <c r="B300" s="2" t="inlineStr">
        <is>
          <t>Referral</t>
        </is>
      </c>
      <c r="C300" s="3" t="n">
        <v>10</v>
      </c>
      <c r="D300" s="3" t="n">
        <v>1</v>
      </c>
      <c r="E300" s="3" t="n">
        <v>0</v>
      </c>
      <c r="F300" s="3" t="n">
        <v>0</v>
      </c>
      <c r="G300" s="3" t="n">
        <v>0</v>
      </c>
      <c r="H300" s="4">
        <f>IFERROR(D300/C300,0)</f>
        <v/>
      </c>
      <c r="I300" s="4">
        <f>IFERROR(E300/D300,0)</f>
        <v/>
      </c>
      <c r="J300" s="4">
        <f>IFERROR(F300/E300,0)</f>
        <v/>
      </c>
      <c r="K300" s="4">
        <f>IFERROR(G300/C300,0)</f>
        <v/>
      </c>
    </row>
    <row r="301">
      <c r="A301" s="5" t="inlineStr">
        <is>
          <t>2026-02-19</t>
        </is>
      </c>
      <c r="B301" s="5" t="inlineStr">
        <is>
          <t>Direct</t>
        </is>
      </c>
      <c r="C301" s="6" t="n">
        <v>20</v>
      </c>
      <c r="D301" s="6" t="n">
        <v>1</v>
      </c>
      <c r="E301" s="6" t="n">
        <v>0</v>
      </c>
      <c r="F301" s="6" t="n">
        <v>0</v>
      </c>
      <c r="G301" s="6" t="n">
        <v>0</v>
      </c>
      <c r="H301" s="7">
        <f>IFERROR(D301/C301,0)</f>
        <v/>
      </c>
      <c r="I301" s="7">
        <f>IFERROR(E301/D301,0)</f>
        <v/>
      </c>
      <c r="J301" s="7">
        <f>IFERROR(F301/E301,0)</f>
        <v/>
      </c>
      <c r="K301" s="7">
        <f>IFERROR(G301/C301,0)</f>
        <v/>
      </c>
    </row>
    <row r="302">
      <c r="A302" s="2" t="inlineStr">
        <is>
          <t>2026-02-20</t>
        </is>
      </c>
      <c r="B302" s="2" t="inlineStr">
        <is>
          <t>Google Ads</t>
        </is>
      </c>
      <c r="C302" s="3" t="n">
        <v>223</v>
      </c>
      <c r="D302" s="3" t="n">
        <v>16</v>
      </c>
      <c r="E302" s="3" t="n">
        <v>3</v>
      </c>
      <c r="F302" s="3" t="n">
        <v>1</v>
      </c>
      <c r="G302" s="3" t="n">
        <v>0</v>
      </c>
      <c r="H302" s="4">
        <f>IFERROR(D302/C302,0)</f>
        <v/>
      </c>
      <c r="I302" s="4">
        <f>IFERROR(E302/D302,0)</f>
        <v/>
      </c>
      <c r="J302" s="4">
        <f>IFERROR(F302/E302,0)</f>
        <v/>
      </c>
      <c r="K302" s="4">
        <f>IFERROR(G302/C302,0)</f>
        <v/>
      </c>
    </row>
    <row r="303">
      <c r="A303" s="5" t="inlineStr">
        <is>
          <t>2026-02-20</t>
        </is>
      </c>
      <c r="B303" s="5" t="inlineStr">
        <is>
          <t>Facebook Ads</t>
        </is>
      </c>
      <c r="C303" s="6" t="n">
        <v>160</v>
      </c>
      <c r="D303" s="6" t="n">
        <v>6</v>
      </c>
      <c r="E303" s="6" t="n">
        <v>1</v>
      </c>
      <c r="F303" s="6" t="n">
        <v>0</v>
      </c>
      <c r="G303" s="6" t="n">
        <v>0</v>
      </c>
      <c r="H303" s="7">
        <f>IFERROR(D303/C303,0)</f>
        <v/>
      </c>
      <c r="I303" s="7">
        <f>IFERROR(E303/D303,0)</f>
        <v/>
      </c>
      <c r="J303" s="7">
        <f>IFERROR(F303/E303,0)</f>
        <v/>
      </c>
      <c r="K303" s="7">
        <f>IFERROR(G303/C303,0)</f>
        <v/>
      </c>
    </row>
    <row r="304">
      <c r="A304" s="2" t="inlineStr">
        <is>
          <t>2026-02-20</t>
        </is>
      </c>
      <c r="B304" s="2" t="inlineStr">
        <is>
          <t>Organic SEO</t>
        </is>
      </c>
      <c r="C304" s="3" t="n">
        <v>180</v>
      </c>
      <c r="D304" s="3" t="n">
        <v>19</v>
      </c>
      <c r="E304" s="3" t="n">
        <v>4</v>
      </c>
      <c r="F304" s="3" t="n">
        <v>1</v>
      </c>
      <c r="G304" s="3" t="n">
        <v>0</v>
      </c>
      <c r="H304" s="4">
        <f>IFERROR(D304/C304,0)</f>
        <v/>
      </c>
      <c r="I304" s="4">
        <f>IFERROR(E304/D304,0)</f>
        <v/>
      </c>
      <c r="J304" s="4">
        <f>IFERROR(F304/E304,0)</f>
        <v/>
      </c>
      <c r="K304" s="4">
        <f>IFERROR(G304/C304,0)</f>
        <v/>
      </c>
    </row>
    <row r="305">
      <c r="A305" s="5" t="inlineStr">
        <is>
          <t>2026-02-20</t>
        </is>
      </c>
      <c r="B305" s="5" t="inlineStr">
        <is>
          <t>Email</t>
        </is>
      </c>
      <c r="C305" s="6" t="n">
        <v>133</v>
      </c>
      <c r="D305" s="6" t="n">
        <v>17</v>
      </c>
      <c r="E305" s="6" t="n">
        <v>4</v>
      </c>
      <c r="F305" s="6" t="n">
        <v>1</v>
      </c>
      <c r="G305" s="6" t="n">
        <v>1</v>
      </c>
      <c r="H305" s="7">
        <f>IFERROR(D305/C305,0)</f>
        <v/>
      </c>
      <c r="I305" s="7">
        <f>IFERROR(E305/D305,0)</f>
        <v/>
      </c>
      <c r="J305" s="7">
        <f>IFERROR(F305/E305,0)</f>
        <v/>
      </c>
      <c r="K305" s="7">
        <f>IFERROR(G305/C305,0)</f>
        <v/>
      </c>
    </row>
    <row r="306">
      <c r="A306" s="2" t="inlineStr">
        <is>
          <t>2026-02-20</t>
        </is>
      </c>
      <c r="B306" s="2" t="inlineStr">
        <is>
          <t>Referral</t>
        </is>
      </c>
      <c r="C306" s="3" t="n">
        <v>10</v>
      </c>
      <c r="D306" s="3" t="n">
        <v>1</v>
      </c>
      <c r="E306" s="3" t="n">
        <v>0</v>
      </c>
      <c r="F306" s="3" t="n">
        <v>0</v>
      </c>
      <c r="G306" s="3" t="n">
        <v>0</v>
      </c>
      <c r="H306" s="4">
        <f>IFERROR(D306/C306,0)</f>
        <v/>
      </c>
      <c r="I306" s="4">
        <f>IFERROR(E306/D306,0)</f>
        <v/>
      </c>
      <c r="J306" s="4">
        <f>IFERROR(F306/E306,0)</f>
        <v/>
      </c>
      <c r="K306" s="4">
        <f>IFERROR(G306/C306,0)</f>
        <v/>
      </c>
    </row>
    <row r="307">
      <c r="A307" s="5" t="inlineStr">
        <is>
          <t>2026-02-20</t>
        </is>
      </c>
      <c r="B307" s="5" t="inlineStr">
        <is>
          <t>Direct</t>
        </is>
      </c>
      <c r="C307" s="6" t="n">
        <v>24</v>
      </c>
      <c r="D307" s="6" t="n">
        <v>2</v>
      </c>
      <c r="E307" s="6" t="n">
        <v>0</v>
      </c>
      <c r="F307" s="6" t="n">
        <v>0</v>
      </c>
      <c r="G307" s="6" t="n">
        <v>0</v>
      </c>
      <c r="H307" s="7">
        <f>IFERROR(D307/C307,0)</f>
        <v/>
      </c>
      <c r="I307" s="7">
        <f>IFERROR(E307/D307,0)</f>
        <v/>
      </c>
      <c r="J307" s="7">
        <f>IFERROR(F307/E307,0)</f>
        <v/>
      </c>
      <c r="K307" s="7">
        <f>IFERROR(G307/C307,0)</f>
        <v/>
      </c>
    </row>
    <row r="308">
      <c r="A308" s="2" t="inlineStr">
        <is>
          <t>2026-02-21</t>
        </is>
      </c>
      <c r="B308" s="2" t="inlineStr">
        <is>
          <t>Google Ads</t>
        </is>
      </c>
      <c r="C308" s="3" t="n">
        <v>213</v>
      </c>
      <c r="D308" s="3" t="n">
        <v>14</v>
      </c>
      <c r="E308" s="3" t="n">
        <v>3</v>
      </c>
      <c r="F308" s="3" t="n">
        <v>1</v>
      </c>
      <c r="G308" s="3" t="n">
        <v>0</v>
      </c>
      <c r="H308" s="4">
        <f>IFERROR(D308/C308,0)</f>
        <v/>
      </c>
      <c r="I308" s="4">
        <f>IFERROR(E308/D308,0)</f>
        <v/>
      </c>
      <c r="J308" s="4">
        <f>IFERROR(F308/E308,0)</f>
        <v/>
      </c>
      <c r="K308" s="4">
        <f>IFERROR(G308/C308,0)</f>
        <v/>
      </c>
    </row>
    <row r="309">
      <c r="A309" s="5" t="inlineStr">
        <is>
          <t>2026-02-21</t>
        </is>
      </c>
      <c r="B309" s="5" t="inlineStr">
        <is>
          <t>Facebook Ads</t>
        </is>
      </c>
      <c r="C309" s="6" t="n">
        <v>130</v>
      </c>
      <c r="D309" s="6" t="n">
        <v>4</v>
      </c>
      <c r="E309" s="6" t="n">
        <v>1</v>
      </c>
      <c r="F309" s="6" t="n">
        <v>0</v>
      </c>
      <c r="G309" s="6" t="n">
        <v>0</v>
      </c>
      <c r="H309" s="7">
        <f>IFERROR(D309/C309,0)</f>
        <v/>
      </c>
      <c r="I309" s="7">
        <f>IFERROR(E309/D309,0)</f>
        <v/>
      </c>
      <c r="J309" s="7">
        <f>IFERROR(F309/E309,0)</f>
        <v/>
      </c>
      <c r="K309" s="7">
        <f>IFERROR(G309/C309,0)</f>
        <v/>
      </c>
    </row>
    <row r="310">
      <c r="A310" s="2" t="inlineStr">
        <is>
          <t>2026-02-21</t>
        </is>
      </c>
      <c r="B310" s="2" t="inlineStr">
        <is>
          <t>Organic SEO</t>
        </is>
      </c>
      <c r="C310" s="3" t="n">
        <v>226</v>
      </c>
      <c r="D310" s="3" t="n">
        <v>16</v>
      </c>
      <c r="E310" s="3" t="n">
        <v>4</v>
      </c>
      <c r="F310" s="3" t="n">
        <v>1</v>
      </c>
      <c r="G310" s="3" t="n">
        <v>1</v>
      </c>
      <c r="H310" s="4">
        <f>IFERROR(D310/C310,0)</f>
        <v/>
      </c>
      <c r="I310" s="4">
        <f>IFERROR(E310/D310,0)</f>
        <v/>
      </c>
      <c r="J310" s="4">
        <f>IFERROR(F310/E310,0)</f>
        <v/>
      </c>
      <c r="K310" s="4">
        <f>IFERROR(G310/C310,0)</f>
        <v/>
      </c>
    </row>
    <row r="311">
      <c r="A311" s="5" t="inlineStr">
        <is>
          <t>2026-02-21</t>
        </is>
      </c>
      <c r="B311" s="5" t="inlineStr">
        <is>
          <t>Email</t>
        </is>
      </c>
      <c r="C311" s="6" t="n">
        <v>110</v>
      </c>
      <c r="D311" s="6" t="n">
        <v>11</v>
      </c>
      <c r="E311" s="6" t="n">
        <v>2</v>
      </c>
      <c r="F311" s="6" t="n">
        <v>0</v>
      </c>
      <c r="G311" s="6" t="n">
        <v>1</v>
      </c>
      <c r="H311" s="7">
        <f>IFERROR(D311/C311,0)</f>
        <v/>
      </c>
      <c r="I311" s="7">
        <f>IFERROR(E311/D311,0)</f>
        <v/>
      </c>
      <c r="J311" s="7">
        <f>IFERROR(F311/E311,0)</f>
        <v/>
      </c>
      <c r="K311" s="7">
        <f>IFERROR(G311/C311,0)</f>
        <v/>
      </c>
    </row>
    <row r="312">
      <c r="A312" s="2" t="inlineStr">
        <is>
          <t>2026-02-21</t>
        </is>
      </c>
      <c r="B312" s="2" t="inlineStr">
        <is>
          <t>Referral</t>
        </is>
      </c>
      <c r="C312" s="3" t="n">
        <v>37</v>
      </c>
      <c r="D312" s="3" t="n">
        <v>5</v>
      </c>
      <c r="E312" s="3" t="n">
        <v>1</v>
      </c>
      <c r="F312" s="3" t="n">
        <v>0</v>
      </c>
      <c r="G312" s="3" t="n">
        <v>0</v>
      </c>
      <c r="H312" s="4">
        <f>IFERROR(D312/C312,0)</f>
        <v/>
      </c>
      <c r="I312" s="4">
        <f>IFERROR(E312/D312,0)</f>
        <v/>
      </c>
      <c r="J312" s="4">
        <f>IFERROR(F312/E312,0)</f>
        <v/>
      </c>
      <c r="K312" s="4">
        <f>IFERROR(G312/C312,0)</f>
        <v/>
      </c>
    </row>
    <row r="313">
      <c r="A313" s="5" t="inlineStr">
        <is>
          <t>2026-02-21</t>
        </is>
      </c>
      <c r="B313" s="5" t="inlineStr">
        <is>
          <t>Direct</t>
        </is>
      </c>
      <c r="C313" s="6" t="n">
        <v>103</v>
      </c>
      <c r="D313" s="6" t="n">
        <v>7</v>
      </c>
      <c r="E313" s="6" t="n">
        <v>1</v>
      </c>
      <c r="F313" s="6" t="n">
        <v>0</v>
      </c>
      <c r="G313" s="6" t="n">
        <v>0</v>
      </c>
      <c r="H313" s="7">
        <f>IFERROR(D313/C313,0)</f>
        <v/>
      </c>
      <c r="I313" s="7">
        <f>IFERROR(E313/D313,0)</f>
        <v/>
      </c>
      <c r="J313" s="7">
        <f>IFERROR(F313/E313,0)</f>
        <v/>
      </c>
      <c r="K313" s="7">
        <f>IFERROR(G313/C313,0)</f>
        <v/>
      </c>
    </row>
    <row r="314">
      <c r="A314" s="2" t="inlineStr">
        <is>
          <t>2026-02-22</t>
        </is>
      </c>
      <c r="B314" s="2" t="inlineStr">
        <is>
          <t>Google Ads</t>
        </is>
      </c>
      <c r="C314" s="3" t="n">
        <v>157</v>
      </c>
      <c r="D314" s="3" t="n">
        <v>9</v>
      </c>
      <c r="E314" s="3" t="n">
        <v>2</v>
      </c>
      <c r="F314" s="3" t="n">
        <v>0</v>
      </c>
      <c r="G314" s="3" t="n">
        <v>0</v>
      </c>
      <c r="H314" s="4">
        <f>IFERROR(D314/C314,0)</f>
        <v/>
      </c>
      <c r="I314" s="4">
        <f>IFERROR(E314/D314,0)</f>
        <v/>
      </c>
      <c r="J314" s="4">
        <f>IFERROR(F314/E314,0)</f>
        <v/>
      </c>
      <c r="K314" s="4">
        <f>IFERROR(G314/C314,0)</f>
        <v/>
      </c>
    </row>
    <row r="315">
      <c r="A315" s="5" t="inlineStr">
        <is>
          <t>2026-02-22</t>
        </is>
      </c>
      <c r="B315" s="5" t="inlineStr">
        <is>
          <t>Facebook Ads</t>
        </is>
      </c>
      <c r="C315" s="6" t="n">
        <v>199</v>
      </c>
      <c r="D315" s="6" t="n">
        <v>8</v>
      </c>
      <c r="E315" s="6" t="n">
        <v>2</v>
      </c>
      <c r="F315" s="6" t="n">
        <v>0</v>
      </c>
      <c r="G315" s="6" t="n">
        <v>0</v>
      </c>
      <c r="H315" s="7">
        <f>IFERROR(D315/C315,0)</f>
        <v/>
      </c>
      <c r="I315" s="7">
        <f>IFERROR(E315/D315,0)</f>
        <v/>
      </c>
      <c r="J315" s="7">
        <f>IFERROR(F315/E315,0)</f>
        <v/>
      </c>
      <c r="K315" s="7">
        <f>IFERROR(G315/C315,0)</f>
        <v/>
      </c>
    </row>
    <row r="316">
      <c r="A316" s="2" t="inlineStr">
        <is>
          <t>2026-02-22</t>
        </is>
      </c>
      <c r="B316" s="2" t="inlineStr">
        <is>
          <t>Organic SEO</t>
        </is>
      </c>
      <c r="C316" s="3" t="n">
        <v>197</v>
      </c>
      <c r="D316" s="3" t="n">
        <v>14</v>
      </c>
      <c r="E316" s="3" t="n">
        <v>3</v>
      </c>
      <c r="F316" s="3" t="n">
        <v>1</v>
      </c>
      <c r="G316" s="3" t="n">
        <v>1</v>
      </c>
      <c r="H316" s="4">
        <f>IFERROR(D316/C316,0)</f>
        <v/>
      </c>
      <c r="I316" s="4">
        <f>IFERROR(E316/D316,0)</f>
        <v/>
      </c>
      <c r="J316" s="4">
        <f>IFERROR(F316/E316,0)</f>
        <v/>
      </c>
      <c r="K316" s="4">
        <f>IFERROR(G316/C316,0)</f>
        <v/>
      </c>
    </row>
    <row r="317">
      <c r="A317" s="5" t="inlineStr">
        <is>
          <t>2026-02-22</t>
        </is>
      </c>
      <c r="B317" s="5" t="inlineStr">
        <is>
          <t>Email</t>
        </is>
      </c>
      <c r="C317" s="6" t="n">
        <v>45</v>
      </c>
      <c r="D317" s="6" t="n">
        <v>6</v>
      </c>
      <c r="E317" s="6" t="n">
        <v>1</v>
      </c>
      <c r="F317" s="6" t="n">
        <v>0</v>
      </c>
      <c r="G317" s="6" t="n">
        <v>0</v>
      </c>
      <c r="H317" s="7">
        <f>IFERROR(D317/C317,0)</f>
        <v/>
      </c>
      <c r="I317" s="7">
        <f>IFERROR(E317/D317,0)</f>
        <v/>
      </c>
      <c r="J317" s="7">
        <f>IFERROR(F317/E317,0)</f>
        <v/>
      </c>
      <c r="K317" s="7">
        <f>IFERROR(G317/C317,0)</f>
        <v/>
      </c>
    </row>
    <row r="318">
      <c r="A318" s="2" t="inlineStr">
        <is>
          <t>2026-02-22</t>
        </is>
      </c>
      <c r="B318" s="2" t="inlineStr">
        <is>
          <t>Referral</t>
        </is>
      </c>
      <c r="C318" s="3" t="n">
        <v>40</v>
      </c>
      <c r="D318" s="3" t="n">
        <v>7</v>
      </c>
      <c r="E318" s="3" t="n">
        <v>1</v>
      </c>
      <c r="F318" s="3" t="n">
        <v>0</v>
      </c>
      <c r="G318" s="3" t="n">
        <v>0</v>
      </c>
      <c r="H318" s="4">
        <f>IFERROR(D318/C318,0)</f>
        <v/>
      </c>
      <c r="I318" s="4">
        <f>IFERROR(E318/D318,0)</f>
        <v/>
      </c>
      <c r="J318" s="4">
        <f>IFERROR(F318/E318,0)</f>
        <v/>
      </c>
      <c r="K318" s="4">
        <f>IFERROR(G318/C318,0)</f>
        <v/>
      </c>
    </row>
    <row r="319">
      <c r="A319" s="5" t="inlineStr">
        <is>
          <t>2026-02-22</t>
        </is>
      </c>
      <c r="B319" s="5" t="inlineStr">
        <is>
          <t>Direct</t>
        </is>
      </c>
      <c r="C319" s="6" t="n">
        <v>34</v>
      </c>
      <c r="D319" s="6" t="n">
        <v>2</v>
      </c>
      <c r="E319" s="6" t="n">
        <v>0</v>
      </c>
      <c r="F319" s="6" t="n">
        <v>0</v>
      </c>
      <c r="G319" s="6" t="n">
        <v>0</v>
      </c>
      <c r="H319" s="7">
        <f>IFERROR(D319/C319,0)</f>
        <v/>
      </c>
      <c r="I319" s="7">
        <f>IFERROR(E319/D319,0)</f>
        <v/>
      </c>
      <c r="J319" s="7">
        <f>IFERROR(F319/E319,0)</f>
        <v/>
      </c>
      <c r="K319" s="7">
        <f>IFERROR(G319/C319,0)</f>
        <v/>
      </c>
    </row>
    <row r="320">
      <c r="A320" s="2" t="inlineStr">
        <is>
          <t>2026-02-23</t>
        </is>
      </c>
      <c r="B320" s="2" t="inlineStr">
        <is>
          <t>Google Ads</t>
        </is>
      </c>
      <c r="C320" s="3" t="n">
        <v>174</v>
      </c>
      <c r="D320" s="3" t="n">
        <v>11</v>
      </c>
      <c r="E320" s="3" t="n">
        <v>3</v>
      </c>
      <c r="F320" s="3" t="n">
        <v>1</v>
      </c>
      <c r="G320" s="3" t="n">
        <v>0</v>
      </c>
      <c r="H320" s="4">
        <f>IFERROR(D320/C320,0)</f>
        <v/>
      </c>
      <c r="I320" s="4">
        <f>IFERROR(E320/D320,0)</f>
        <v/>
      </c>
      <c r="J320" s="4">
        <f>IFERROR(F320/E320,0)</f>
        <v/>
      </c>
      <c r="K320" s="4">
        <f>IFERROR(G320/C320,0)</f>
        <v/>
      </c>
    </row>
    <row r="321">
      <c r="A321" s="5" t="inlineStr">
        <is>
          <t>2026-02-23</t>
        </is>
      </c>
      <c r="B321" s="5" t="inlineStr">
        <is>
          <t>Facebook Ads</t>
        </is>
      </c>
      <c r="C321" s="6" t="n">
        <v>149</v>
      </c>
      <c r="D321" s="6" t="n">
        <v>4</v>
      </c>
      <c r="E321" s="6" t="n">
        <v>1</v>
      </c>
      <c r="F321" s="6" t="n">
        <v>0</v>
      </c>
      <c r="G321" s="6" t="n">
        <v>0</v>
      </c>
      <c r="H321" s="7">
        <f>IFERROR(D321/C321,0)</f>
        <v/>
      </c>
      <c r="I321" s="7">
        <f>IFERROR(E321/D321,0)</f>
        <v/>
      </c>
      <c r="J321" s="7">
        <f>IFERROR(F321/E321,0)</f>
        <v/>
      </c>
      <c r="K321" s="7">
        <f>IFERROR(G321/C321,0)</f>
        <v/>
      </c>
    </row>
    <row r="322">
      <c r="A322" s="2" t="inlineStr">
        <is>
          <t>2026-02-23</t>
        </is>
      </c>
      <c r="B322" s="2" t="inlineStr">
        <is>
          <t>Organic SEO</t>
        </is>
      </c>
      <c r="C322" s="3" t="n">
        <v>246</v>
      </c>
      <c r="D322" s="3" t="n">
        <v>19</v>
      </c>
      <c r="E322" s="3" t="n">
        <v>4</v>
      </c>
      <c r="F322" s="3" t="n">
        <v>1</v>
      </c>
      <c r="G322" s="3" t="n">
        <v>1</v>
      </c>
      <c r="H322" s="4">
        <f>IFERROR(D322/C322,0)</f>
        <v/>
      </c>
      <c r="I322" s="4">
        <f>IFERROR(E322/D322,0)</f>
        <v/>
      </c>
      <c r="J322" s="4">
        <f>IFERROR(F322/E322,0)</f>
        <v/>
      </c>
      <c r="K322" s="4">
        <f>IFERROR(G322/C322,0)</f>
        <v/>
      </c>
    </row>
    <row r="323">
      <c r="A323" s="5" t="inlineStr">
        <is>
          <t>2026-02-23</t>
        </is>
      </c>
      <c r="B323" s="5" t="inlineStr">
        <is>
          <t>Email</t>
        </is>
      </c>
      <c r="C323" s="6" t="n">
        <v>63</v>
      </c>
      <c r="D323" s="6" t="n">
        <v>8</v>
      </c>
      <c r="E323" s="6" t="n">
        <v>1</v>
      </c>
      <c r="F323" s="6" t="n">
        <v>0</v>
      </c>
      <c r="G323" s="6" t="n">
        <v>0</v>
      </c>
      <c r="H323" s="7">
        <f>IFERROR(D323/C323,0)</f>
        <v/>
      </c>
      <c r="I323" s="7">
        <f>IFERROR(E323/D323,0)</f>
        <v/>
      </c>
      <c r="J323" s="7">
        <f>IFERROR(F323/E323,0)</f>
        <v/>
      </c>
      <c r="K323" s="7">
        <f>IFERROR(G323/C323,0)</f>
        <v/>
      </c>
    </row>
    <row r="324">
      <c r="A324" s="2" t="inlineStr">
        <is>
          <t>2026-02-23</t>
        </is>
      </c>
      <c r="B324" s="2" t="inlineStr">
        <is>
          <t>Referral</t>
        </is>
      </c>
      <c r="C324" s="3" t="n">
        <v>29</v>
      </c>
      <c r="D324" s="3" t="n">
        <v>4</v>
      </c>
      <c r="E324" s="3" t="n">
        <v>0</v>
      </c>
      <c r="F324" s="3" t="n">
        <v>0</v>
      </c>
      <c r="G324" s="3" t="n">
        <v>0</v>
      </c>
      <c r="H324" s="4">
        <f>IFERROR(D324/C324,0)</f>
        <v/>
      </c>
      <c r="I324" s="4">
        <f>IFERROR(E324/D324,0)</f>
        <v/>
      </c>
      <c r="J324" s="4">
        <f>IFERROR(F324/E324,0)</f>
        <v/>
      </c>
      <c r="K324" s="4">
        <f>IFERROR(G324/C324,0)</f>
        <v/>
      </c>
    </row>
    <row r="325">
      <c r="A325" s="5" t="inlineStr">
        <is>
          <t>2026-02-23</t>
        </is>
      </c>
      <c r="B325" s="5" t="inlineStr">
        <is>
          <t>Direct</t>
        </is>
      </c>
      <c r="C325" s="6" t="n">
        <v>67</v>
      </c>
      <c r="D325" s="6" t="n">
        <v>3</v>
      </c>
      <c r="E325" s="6" t="n">
        <v>0</v>
      </c>
      <c r="F325" s="6" t="n">
        <v>0</v>
      </c>
      <c r="G325" s="6" t="n">
        <v>0</v>
      </c>
      <c r="H325" s="7">
        <f>IFERROR(D325/C325,0)</f>
        <v/>
      </c>
      <c r="I325" s="7">
        <f>IFERROR(E325/D325,0)</f>
        <v/>
      </c>
      <c r="J325" s="7">
        <f>IFERROR(F325/E325,0)</f>
        <v/>
      </c>
      <c r="K325" s="7">
        <f>IFERROR(G325/C325,0)</f>
        <v/>
      </c>
    </row>
    <row r="326">
      <c r="A326" s="2" t="inlineStr">
        <is>
          <t>2026-02-24</t>
        </is>
      </c>
      <c r="B326" s="2" t="inlineStr">
        <is>
          <t>Google Ads</t>
        </is>
      </c>
      <c r="C326" s="3" t="n">
        <v>175</v>
      </c>
      <c r="D326" s="3" t="n">
        <v>14</v>
      </c>
      <c r="E326" s="3" t="n">
        <v>3</v>
      </c>
      <c r="F326" s="3" t="n">
        <v>1</v>
      </c>
      <c r="G326" s="3" t="n">
        <v>1</v>
      </c>
      <c r="H326" s="4">
        <f>IFERROR(D326/C326,0)</f>
        <v/>
      </c>
      <c r="I326" s="4">
        <f>IFERROR(E326/D326,0)</f>
        <v/>
      </c>
      <c r="J326" s="4">
        <f>IFERROR(F326/E326,0)</f>
        <v/>
      </c>
      <c r="K326" s="4">
        <f>IFERROR(G326/C326,0)</f>
        <v/>
      </c>
    </row>
    <row r="327">
      <c r="A327" s="5" t="inlineStr">
        <is>
          <t>2026-02-24</t>
        </is>
      </c>
      <c r="B327" s="5" t="inlineStr">
        <is>
          <t>Facebook Ads</t>
        </is>
      </c>
      <c r="C327" s="6" t="n">
        <v>151</v>
      </c>
      <c r="D327" s="6" t="n">
        <v>4</v>
      </c>
      <c r="E327" s="6" t="n">
        <v>1</v>
      </c>
      <c r="F327" s="6" t="n">
        <v>0</v>
      </c>
      <c r="G327" s="6" t="n">
        <v>0</v>
      </c>
      <c r="H327" s="7">
        <f>IFERROR(D327/C327,0)</f>
        <v/>
      </c>
      <c r="I327" s="7">
        <f>IFERROR(E327/D327,0)</f>
        <v/>
      </c>
      <c r="J327" s="7">
        <f>IFERROR(F327/E327,0)</f>
        <v/>
      </c>
      <c r="K327" s="7">
        <f>IFERROR(G327/C327,0)</f>
        <v/>
      </c>
    </row>
    <row r="328">
      <c r="A328" s="2" t="inlineStr">
        <is>
          <t>2026-02-24</t>
        </is>
      </c>
      <c r="B328" s="2" t="inlineStr">
        <is>
          <t>Organic SEO</t>
        </is>
      </c>
      <c r="C328" s="3" t="n">
        <v>198</v>
      </c>
      <c r="D328" s="3" t="n">
        <v>20</v>
      </c>
      <c r="E328" s="3" t="n">
        <v>5</v>
      </c>
      <c r="F328" s="3" t="n">
        <v>1</v>
      </c>
      <c r="G328" s="3" t="n">
        <v>1</v>
      </c>
      <c r="H328" s="4">
        <f>IFERROR(D328/C328,0)</f>
        <v/>
      </c>
      <c r="I328" s="4">
        <f>IFERROR(E328/D328,0)</f>
        <v/>
      </c>
      <c r="J328" s="4">
        <f>IFERROR(F328/E328,0)</f>
        <v/>
      </c>
      <c r="K328" s="4">
        <f>IFERROR(G328/C328,0)</f>
        <v/>
      </c>
    </row>
    <row r="329">
      <c r="A329" s="5" t="inlineStr">
        <is>
          <t>2026-02-24</t>
        </is>
      </c>
      <c r="B329" s="5" t="inlineStr">
        <is>
          <t>Email</t>
        </is>
      </c>
      <c r="C329" s="6" t="n">
        <v>70</v>
      </c>
      <c r="D329" s="6" t="n">
        <v>9</v>
      </c>
      <c r="E329" s="6" t="n">
        <v>2</v>
      </c>
      <c r="F329" s="6" t="n">
        <v>0</v>
      </c>
      <c r="G329" s="6" t="n">
        <v>0</v>
      </c>
      <c r="H329" s="7">
        <f>IFERROR(D329/C329,0)</f>
        <v/>
      </c>
      <c r="I329" s="7">
        <f>IFERROR(E329/D329,0)</f>
        <v/>
      </c>
      <c r="J329" s="7">
        <f>IFERROR(F329/E329,0)</f>
        <v/>
      </c>
      <c r="K329" s="7">
        <f>IFERROR(G329/C329,0)</f>
        <v/>
      </c>
    </row>
    <row r="330">
      <c r="A330" s="2" t="inlineStr">
        <is>
          <t>2026-02-24</t>
        </is>
      </c>
      <c r="B330" s="2" t="inlineStr">
        <is>
          <t>Referral</t>
        </is>
      </c>
      <c r="C330" s="3" t="n">
        <v>67</v>
      </c>
      <c r="D330" s="3" t="n">
        <v>8</v>
      </c>
      <c r="E330" s="3" t="n">
        <v>1</v>
      </c>
      <c r="F330" s="3" t="n">
        <v>0</v>
      </c>
      <c r="G330" s="3" t="n">
        <v>1</v>
      </c>
      <c r="H330" s="4">
        <f>IFERROR(D330/C330,0)</f>
        <v/>
      </c>
      <c r="I330" s="4">
        <f>IFERROR(E330/D330,0)</f>
        <v/>
      </c>
      <c r="J330" s="4">
        <f>IFERROR(F330/E330,0)</f>
        <v/>
      </c>
      <c r="K330" s="4">
        <f>IFERROR(G330/C330,0)</f>
        <v/>
      </c>
    </row>
    <row r="331">
      <c r="A331" s="5" t="inlineStr">
        <is>
          <t>2026-02-24</t>
        </is>
      </c>
      <c r="B331" s="5" t="inlineStr">
        <is>
          <t>Direct</t>
        </is>
      </c>
      <c r="C331" s="6" t="n">
        <v>19</v>
      </c>
      <c r="D331" s="6" t="n">
        <v>1</v>
      </c>
      <c r="E331" s="6" t="n">
        <v>0</v>
      </c>
      <c r="F331" s="6" t="n">
        <v>0</v>
      </c>
      <c r="G331" s="6" t="n">
        <v>0</v>
      </c>
      <c r="H331" s="7">
        <f>IFERROR(D331/C331,0)</f>
        <v/>
      </c>
      <c r="I331" s="7">
        <f>IFERROR(E331/D331,0)</f>
        <v/>
      </c>
      <c r="J331" s="7">
        <f>IFERROR(F331/E331,0)</f>
        <v/>
      </c>
      <c r="K331" s="7">
        <f>IFERROR(G331/C331,0)</f>
        <v/>
      </c>
    </row>
    <row r="332">
      <c r="A332" s="2" t="inlineStr">
        <is>
          <t>2026-02-25</t>
        </is>
      </c>
      <c r="B332" s="2" t="inlineStr">
        <is>
          <t>Google Ads</t>
        </is>
      </c>
      <c r="C332" s="3" t="n">
        <v>171</v>
      </c>
      <c r="D332" s="3" t="n">
        <v>16</v>
      </c>
      <c r="E332" s="3" t="n">
        <v>3</v>
      </c>
      <c r="F332" s="3" t="n">
        <v>1</v>
      </c>
      <c r="G332" s="3" t="n">
        <v>0</v>
      </c>
      <c r="H332" s="4">
        <f>IFERROR(D332/C332,0)</f>
        <v/>
      </c>
      <c r="I332" s="4">
        <f>IFERROR(E332/D332,0)</f>
        <v/>
      </c>
      <c r="J332" s="4">
        <f>IFERROR(F332/E332,0)</f>
        <v/>
      </c>
      <c r="K332" s="4">
        <f>IFERROR(G332/C332,0)</f>
        <v/>
      </c>
    </row>
    <row r="333">
      <c r="A333" s="5" t="inlineStr">
        <is>
          <t>2026-02-25</t>
        </is>
      </c>
      <c r="B333" s="5" t="inlineStr">
        <is>
          <t>Facebook Ads</t>
        </is>
      </c>
      <c r="C333" s="6" t="n">
        <v>171</v>
      </c>
      <c r="D333" s="6" t="n">
        <v>4</v>
      </c>
      <c r="E333" s="6" t="n">
        <v>1</v>
      </c>
      <c r="F333" s="6" t="n">
        <v>0</v>
      </c>
      <c r="G333" s="6" t="n">
        <v>0</v>
      </c>
      <c r="H333" s="7">
        <f>IFERROR(D333/C333,0)</f>
        <v/>
      </c>
      <c r="I333" s="7">
        <f>IFERROR(E333/D333,0)</f>
        <v/>
      </c>
      <c r="J333" s="7">
        <f>IFERROR(F333/E333,0)</f>
        <v/>
      </c>
      <c r="K333" s="7">
        <f>IFERROR(G333/C333,0)</f>
        <v/>
      </c>
    </row>
    <row r="334">
      <c r="A334" s="2" t="inlineStr">
        <is>
          <t>2026-02-25</t>
        </is>
      </c>
      <c r="B334" s="2" t="inlineStr">
        <is>
          <t>Organic SEO</t>
        </is>
      </c>
      <c r="C334" s="3" t="n">
        <v>258</v>
      </c>
      <c r="D334" s="3" t="n">
        <v>21</v>
      </c>
      <c r="E334" s="3" t="n">
        <v>5</v>
      </c>
      <c r="F334" s="3" t="n">
        <v>1</v>
      </c>
      <c r="G334" s="3" t="n">
        <v>1</v>
      </c>
      <c r="H334" s="4">
        <f>IFERROR(D334/C334,0)</f>
        <v/>
      </c>
      <c r="I334" s="4">
        <f>IFERROR(E334/D334,0)</f>
        <v/>
      </c>
      <c r="J334" s="4">
        <f>IFERROR(F334/E334,0)</f>
        <v/>
      </c>
      <c r="K334" s="4">
        <f>IFERROR(G334/C334,0)</f>
        <v/>
      </c>
    </row>
    <row r="335">
      <c r="A335" s="5" t="inlineStr">
        <is>
          <t>2026-02-25</t>
        </is>
      </c>
      <c r="B335" s="5" t="inlineStr">
        <is>
          <t>Email</t>
        </is>
      </c>
      <c r="C335" s="6" t="n">
        <v>49</v>
      </c>
      <c r="D335" s="6" t="n">
        <v>6</v>
      </c>
      <c r="E335" s="6" t="n">
        <v>1</v>
      </c>
      <c r="F335" s="6" t="n">
        <v>0</v>
      </c>
      <c r="G335" s="6" t="n">
        <v>0</v>
      </c>
      <c r="H335" s="7">
        <f>IFERROR(D335/C335,0)</f>
        <v/>
      </c>
      <c r="I335" s="7">
        <f>IFERROR(E335/D335,0)</f>
        <v/>
      </c>
      <c r="J335" s="7">
        <f>IFERROR(F335/E335,0)</f>
        <v/>
      </c>
      <c r="K335" s="7">
        <f>IFERROR(G335/C335,0)</f>
        <v/>
      </c>
    </row>
    <row r="336">
      <c r="A336" s="2" t="inlineStr">
        <is>
          <t>2026-02-25</t>
        </is>
      </c>
      <c r="B336" s="2" t="inlineStr">
        <is>
          <t>Referral</t>
        </is>
      </c>
      <c r="C336" s="3" t="n">
        <v>77</v>
      </c>
      <c r="D336" s="3" t="n">
        <v>13</v>
      </c>
      <c r="E336" s="3" t="n">
        <v>3</v>
      </c>
      <c r="F336" s="3" t="n">
        <v>1</v>
      </c>
      <c r="G336" s="3" t="n">
        <v>2</v>
      </c>
      <c r="H336" s="4">
        <f>IFERROR(D336/C336,0)</f>
        <v/>
      </c>
      <c r="I336" s="4">
        <f>IFERROR(E336/D336,0)</f>
        <v/>
      </c>
      <c r="J336" s="4">
        <f>IFERROR(F336/E336,0)</f>
        <v/>
      </c>
      <c r="K336" s="4">
        <f>IFERROR(G336/C336,0)</f>
        <v/>
      </c>
    </row>
    <row r="337">
      <c r="A337" s="5" t="inlineStr">
        <is>
          <t>2026-02-25</t>
        </is>
      </c>
      <c r="B337" s="5" t="inlineStr">
        <is>
          <t>Direct</t>
        </is>
      </c>
      <c r="C337" s="6" t="n">
        <v>80</v>
      </c>
      <c r="D337" s="6" t="n">
        <v>5</v>
      </c>
      <c r="E337" s="6" t="n">
        <v>1</v>
      </c>
      <c r="F337" s="6" t="n">
        <v>0</v>
      </c>
      <c r="G337" s="6" t="n">
        <v>0</v>
      </c>
      <c r="H337" s="7">
        <f>IFERROR(D337/C337,0)</f>
        <v/>
      </c>
      <c r="I337" s="7">
        <f>IFERROR(E337/D337,0)</f>
        <v/>
      </c>
      <c r="J337" s="7">
        <f>IFERROR(F337/E337,0)</f>
        <v/>
      </c>
      <c r="K337" s="7">
        <f>IFERROR(G337/C337,0)</f>
        <v/>
      </c>
    </row>
    <row r="338">
      <c r="A338" s="2" t="inlineStr">
        <is>
          <t>2026-02-26</t>
        </is>
      </c>
      <c r="B338" s="2" t="inlineStr">
        <is>
          <t>Google Ads</t>
        </is>
      </c>
      <c r="C338" s="3" t="n">
        <v>229</v>
      </c>
      <c r="D338" s="3" t="n">
        <v>19</v>
      </c>
      <c r="E338" s="3" t="n">
        <v>4</v>
      </c>
      <c r="F338" s="3" t="n">
        <v>1</v>
      </c>
      <c r="G338" s="3" t="n">
        <v>1</v>
      </c>
      <c r="H338" s="4">
        <f>IFERROR(D338/C338,0)</f>
        <v/>
      </c>
      <c r="I338" s="4">
        <f>IFERROR(E338/D338,0)</f>
        <v/>
      </c>
      <c r="J338" s="4">
        <f>IFERROR(F338/E338,0)</f>
        <v/>
      </c>
      <c r="K338" s="4">
        <f>IFERROR(G338/C338,0)</f>
        <v/>
      </c>
    </row>
    <row r="339">
      <c r="A339" s="5" t="inlineStr">
        <is>
          <t>2026-02-26</t>
        </is>
      </c>
      <c r="B339" s="5" t="inlineStr">
        <is>
          <t>Facebook Ads</t>
        </is>
      </c>
      <c r="C339" s="6" t="n">
        <v>125</v>
      </c>
      <c r="D339" s="6" t="n">
        <v>5</v>
      </c>
      <c r="E339" s="6" t="n">
        <v>1</v>
      </c>
      <c r="F339" s="6" t="n">
        <v>0</v>
      </c>
      <c r="G339" s="6" t="n">
        <v>0</v>
      </c>
      <c r="H339" s="7">
        <f>IFERROR(D339/C339,0)</f>
        <v/>
      </c>
      <c r="I339" s="7">
        <f>IFERROR(E339/D339,0)</f>
        <v/>
      </c>
      <c r="J339" s="7">
        <f>IFERROR(F339/E339,0)</f>
        <v/>
      </c>
      <c r="K339" s="7">
        <f>IFERROR(G339/C339,0)</f>
        <v/>
      </c>
    </row>
    <row r="340">
      <c r="A340" s="2" t="inlineStr">
        <is>
          <t>2026-02-26</t>
        </is>
      </c>
      <c r="B340" s="2" t="inlineStr">
        <is>
          <t>Organic SEO</t>
        </is>
      </c>
      <c r="C340" s="3" t="n">
        <v>253</v>
      </c>
      <c r="D340" s="3" t="n">
        <v>21</v>
      </c>
      <c r="E340" s="3" t="n">
        <v>5</v>
      </c>
      <c r="F340" s="3" t="n">
        <v>2</v>
      </c>
      <c r="G340" s="3" t="n">
        <v>1</v>
      </c>
      <c r="H340" s="4">
        <f>IFERROR(D340/C340,0)</f>
        <v/>
      </c>
      <c r="I340" s="4">
        <f>IFERROR(E340/D340,0)</f>
        <v/>
      </c>
      <c r="J340" s="4">
        <f>IFERROR(F340/E340,0)</f>
        <v/>
      </c>
      <c r="K340" s="4">
        <f>IFERROR(G340/C340,0)</f>
        <v/>
      </c>
    </row>
    <row r="341">
      <c r="A341" s="5" t="inlineStr">
        <is>
          <t>2026-02-26</t>
        </is>
      </c>
      <c r="B341" s="5" t="inlineStr">
        <is>
          <t>Email</t>
        </is>
      </c>
      <c r="C341" s="6" t="n">
        <v>51</v>
      </c>
      <c r="D341" s="6" t="n">
        <v>5</v>
      </c>
      <c r="E341" s="6" t="n">
        <v>1</v>
      </c>
      <c r="F341" s="6" t="n">
        <v>0</v>
      </c>
      <c r="G341" s="6" t="n">
        <v>0</v>
      </c>
      <c r="H341" s="7">
        <f>IFERROR(D341/C341,0)</f>
        <v/>
      </c>
      <c r="I341" s="7">
        <f>IFERROR(E341/D341,0)</f>
        <v/>
      </c>
      <c r="J341" s="7">
        <f>IFERROR(F341/E341,0)</f>
        <v/>
      </c>
      <c r="K341" s="7">
        <f>IFERROR(G341/C341,0)</f>
        <v/>
      </c>
    </row>
    <row r="342">
      <c r="A342" s="2" t="inlineStr">
        <is>
          <t>2026-02-26</t>
        </is>
      </c>
      <c r="B342" s="2" t="inlineStr">
        <is>
          <t>Referral</t>
        </is>
      </c>
      <c r="C342" s="3" t="n">
        <v>42</v>
      </c>
      <c r="D342" s="3" t="n">
        <v>6</v>
      </c>
      <c r="E342" s="3" t="n">
        <v>1</v>
      </c>
      <c r="F342" s="3" t="n">
        <v>0</v>
      </c>
      <c r="G342" s="3" t="n">
        <v>0</v>
      </c>
      <c r="H342" s="4">
        <f>IFERROR(D342/C342,0)</f>
        <v/>
      </c>
      <c r="I342" s="4">
        <f>IFERROR(E342/D342,0)</f>
        <v/>
      </c>
      <c r="J342" s="4">
        <f>IFERROR(F342/E342,0)</f>
        <v/>
      </c>
      <c r="K342" s="4">
        <f>IFERROR(G342/C342,0)</f>
        <v/>
      </c>
    </row>
    <row r="343">
      <c r="A343" s="5" t="inlineStr">
        <is>
          <t>2026-02-26</t>
        </is>
      </c>
      <c r="B343" s="5" t="inlineStr">
        <is>
          <t>Direct</t>
        </is>
      </c>
      <c r="C343" s="6" t="n">
        <v>92</v>
      </c>
      <c r="D343" s="6" t="n">
        <v>4</v>
      </c>
      <c r="E343" s="6" t="n">
        <v>1</v>
      </c>
      <c r="F343" s="6" t="n">
        <v>0</v>
      </c>
      <c r="G343" s="6" t="n">
        <v>0</v>
      </c>
      <c r="H343" s="7">
        <f>IFERROR(D343/C343,0)</f>
        <v/>
      </c>
      <c r="I343" s="7">
        <f>IFERROR(E343/D343,0)</f>
        <v/>
      </c>
      <c r="J343" s="7">
        <f>IFERROR(F343/E343,0)</f>
        <v/>
      </c>
      <c r="K343" s="7">
        <f>IFERROR(G343/C343,0)</f>
        <v/>
      </c>
    </row>
    <row r="344">
      <c r="A344" s="2" t="inlineStr">
        <is>
          <t>2026-02-27</t>
        </is>
      </c>
      <c r="B344" s="2" t="inlineStr">
        <is>
          <t>Google Ads</t>
        </is>
      </c>
      <c r="C344" s="3" t="n">
        <v>239</v>
      </c>
      <c r="D344" s="3" t="n">
        <v>19</v>
      </c>
      <c r="E344" s="3" t="n">
        <v>5</v>
      </c>
      <c r="F344" s="3" t="n">
        <v>1</v>
      </c>
      <c r="G344" s="3" t="n">
        <v>1</v>
      </c>
      <c r="H344" s="4">
        <f>IFERROR(D344/C344,0)</f>
        <v/>
      </c>
      <c r="I344" s="4">
        <f>IFERROR(E344/D344,0)</f>
        <v/>
      </c>
      <c r="J344" s="4">
        <f>IFERROR(F344/E344,0)</f>
        <v/>
      </c>
      <c r="K344" s="4">
        <f>IFERROR(G344/C344,0)</f>
        <v/>
      </c>
    </row>
    <row r="345">
      <c r="A345" s="5" t="inlineStr">
        <is>
          <t>2026-02-27</t>
        </is>
      </c>
      <c r="B345" s="5" t="inlineStr">
        <is>
          <t>Facebook Ads</t>
        </is>
      </c>
      <c r="C345" s="6" t="n">
        <v>164</v>
      </c>
      <c r="D345" s="6" t="n">
        <v>7</v>
      </c>
      <c r="E345" s="6" t="n">
        <v>1</v>
      </c>
      <c r="F345" s="6" t="n">
        <v>0</v>
      </c>
      <c r="G345" s="6" t="n">
        <v>0</v>
      </c>
      <c r="H345" s="7">
        <f>IFERROR(D345/C345,0)</f>
        <v/>
      </c>
      <c r="I345" s="7">
        <f>IFERROR(E345/D345,0)</f>
        <v/>
      </c>
      <c r="J345" s="7">
        <f>IFERROR(F345/E345,0)</f>
        <v/>
      </c>
      <c r="K345" s="7">
        <f>IFERROR(G345/C345,0)</f>
        <v/>
      </c>
    </row>
    <row r="346">
      <c r="A346" s="2" t="inlineStr">
        <is>
          <t>2026-02-27</t>
        </is>
      </c>
      <c r="B346" s="2" t="inlineStr">
        <is>
          <t>Organic SEO</t>
        </is>
      </c>
      <c r="C346" s="3" t="n">
        <v>201</v>
      </c>
      <c r="D346" s="3" t="n">
        <v>15</v>
      </c>
      <c r="E346" s="3" t="n">
        <v>3</v>
      </c>
      <c r="F346" s="3" t="n">
        <v>1</v>
      </c>
      <c r="G346" s="3" t="n">
        <v>1</v>
      </c>
      <c r="H346" s="4">
        <f>IFERROR(D346/C346,0)</f>
        <v/>
      </c>
      <c r="I346" s="4">
        <f>IFERROR(E346/D346,0)</f>
        <v/>
      </c>
      <c r="J346" s="4">
        <f>IFERROR(F346/E346,0)</f>
        <v/>
      </c>
      <c r="K346" s="4">
        <f>IFERROR(G346/C346,0)</f>
        <v/>
      </c>
    </row>
    <row r="347">
      <c r="A347" s="5" t="inlineStr">
        <is>
          <t>2026-02-27</t>
        </is>
      </c>
      <c r="B347" s="5" t="inlineStr">
        <is>
          <t>Email</t>
        </is>
      </c>
      <c r="C347" s="6" t="n">
        <v>106</v>
      </c>
      <c r="D347" s="6" t="n">
        <v>15</v>
      </c>
      <c r="E347" s="6" t="n">
        <v>3</v>
      </c>
      <c r="F347" s="6" t="n">
        <v>1</v>
      </c>
      <c r="G347" s="6" t="n">
        <v>1</v>
      </c>
      <c r="H347" s="7">
        <f>IFERROR(D347/C347,0)</f>
        <v/>
      </c>
      <c r="I347" s="7">
        <f>IFERROR(E347/D347,0)</f>
        <v/>
      </c>
      <c r="J347" s="7">
        <f>IFERROR(F347/E347,0)</f>
        <v/>
      </c>
      <c r="K347" s="7">
        <f>IFERROR(G347/C347,0)</f>
        <v/>
      </c>
    </row>
    <row r="348">
      <c r="A348" s="2" t="inlineStr">
        <is>
          <t>2026-02-27</t>
        </is>
      </c>
      <c r="B348" s="2" t="inlineStr">
        <is>
          <t>Referral</t>
        </is>
      </c>
      <c r="C348" s="3" t="n">
        <v>60</v>
      </c>
      <c r="D348" s="3" t="n">
        <v>8</v>
      </c>
      <c r="E348" s="3" t="n">
        <v>2</v>
      </c>
      <c r="F348" s="3" t="n">
        <v>0</v>
      </c>
      <c r="G348" s="3" t="n">
        <v>1</v>
      </c>
      <c r="H348" s="4">
        <f>IFERROR(D348/C348,0)</f>
        <v/>
      </c>
      <c r="I348" s="4">
        <f>IFERROR(E348/D348,0)</f>
        <v/>
      </c>
      <c r="J348" s="4">
        <f>IFERROR(F348/E348,0)</f>
        <v/>
      </c>
      <c r="K348" s="4">
        <f>IFERROR(G348/C348,0)</f>
        <v/>
      </c>
    </row>
    <row r="349">
      <c r="A349" s="5" t="inlineStr">
        <is>
          <t>2026-02-27</t>
        </is>
      </c>
      <c r="B349" s="5" t="inlineStr">
        <is>
          <t>Direct</t>
        </is>
      </c>
      <c r="C349" s="6" t="n">
        <v>92</v>
      </c>
      <c r="D349" s="6" t="n">
        <v>5</v>
      </c>
      <c r="E349" s="6" t="n">
        <v>1</v>
      </c>
      <c r="F349" s="6" t="n">
        <v>0</v>
      </c>
      <c r="G349" s="6" t="n">
        <v>0</v>
      </c>
      <c r="H349" s="7">
        <f>IFERROR(D349/C349,0)</f>
        <v/>
      </c>
      <c r="I349" s="7">
        <f>IFERROR(E349/D349,0)</f>
        <v/>
      </c>
      <c r="J349" s="7">
        <f>IFERROR(F349/E349,0)</f>
        <v/>
      </c>
      <c r="K349" s="7">
        <f>IFERROR(G349/C349,0)</f>
        <v/>
      </c>
    </row>
    <row r="350">
      <c r="A350" s="2" t="inlineStr">
        <is>
          <t>2026-02-28</t>
        </is>
      </c>
      <c r="B350" s="2" t="inlineStr">
        <is>
          <t>Google Ads</t>
        </is>
      </c>
      <c r="C350" s="3" t="n">
        <v>232</v>
      </c>
      <c r="D350" s="3" t="n">
        <v>22</v>
      </c>
      <c r="E350" s="3" t="n">
        <v>6</v>
      </c>
      <c r="F350" s="3" t="n">
        <v>2</v>
      </c>
      <c r="G350" s="3" t="n">
        <v>1</v>
      </c>
      <c r="H350" s="4">
        <f>IFERROR(D350/C350,0)</f>
        <v/>
      </c>
      <c r="I350" s="4">
        <f>IFERROR(E350/D350,0)</f>
        <v/>
      </c>
      <c r="J350" s="4">
        <f>IFERROR(F350/E350,0)</f>
        <v/>
      </c>
      <c r="K350" s="4">
        <f>IFERROR(G350/C350,0)</f>
        <v/>
      </c>
    </row>
    <row r="351">
      <c r="A351" s="5" t="inlineStr">
        <is>
          <t>2026-02-28</t>
        </is>
      </c>
      <c r="B351" s="5" t="inlineStr">
        <is>
          <t>Facebook Ads</t>
        </is>
      </c>
      <c r="C351" s="6" t="n">
        <v>103</v>
      </c>
      <c r="D351" s="6" t="n">
        <v>2</v>
      </c>
      <c r="E351" s="6" t="n">
        <v>0</v>
      </c>
      <c r="F351" s="6" t="n">
        <v>0</v>
      </c>
      <c r="G351" s="6" t="n">
        <v>0</v>
      </c>
      <c r="H351" s="7">
        <f>IFERROR(D351/C351,0)</f>
        <v/>
      </c>
      <c r="I351" s="7">
        <f>IFERROR(E351/D351,0)</f>
        <v/>
      </c>
      <c r="J351" s="7">
        <f>IFERROR(F351/E351,0)</f>
        <v/>
      </c>
      <c r="K351" s="7">
        <f>IFERROR(G351/C351,0)</f>
        <v/>
      </c>
    </row>
    <row r="352">
      <c r="A352" s="2" t="inlineStr">
        <is>
          <t>2026-02-28</t>
        </is>
      </c>
      <c r="B352" s="2" t="inlineStr">
        <is>
          <t>Organic SEO</t>
        </is>
      </c>
      <c r="C352" s="3" t="n">
        <v>206</v>
      </c>
      <c r="D352" s="3" t="n">
        <v>20</v>
      </c>
      <c r="E352" s="3" t="n">
        <v>5</v>
      </c>
      <c r="F352" s="3" t="n">
        <v>1</v>
      </c>
      <c r="G352" s="3" t="n">
        <v>1</v>
      </c>
      <c r="H352" s="4">
        <f>IFERROR(D352/C352,0)</f>
        <v/>
      </c>
      <c r="I352" s="4">
        <f>IFERROR(E352/D352,0)</f>
        <v/>
      </c>
      <c r="J352" s="4">
        <f>IFERROR(F352/E352,0)</f>
        <v/>
      </c>
      <c r="K352" s="4">
        <f>IFERROR(G352/C352,0)</f>
        <v/>
      </c>
    </row>
    <row r="353">
      <c r="A353" s="5" t="inlineStr">
        <is>
          <t>2026-02-28</t>
        </is>
      </c>
      <c r="B353" s="5" t="inlineStr">
        <is>
          <t>Email</t>
        </is>
      </c>
      <c r="C353" s="6" t="n">
        <v>120</v>
      </c>
      <c r="D353" s="6" t="n">
        <v>15</v>
      </c>
      <c r="E353" s="6" t="n">
        <v>3</v>
      </c>
      <c r="F353" s="6" t="n">
        <v>1</v>
      </c>
      <c r="G353" s="6" t="n">
        <v>1</v>
      </c>
      <c r="H353" s="7">
        <f>IFERROR(D353/C353,0)</f>
        <v/>
      </c>
      <c r="I353" s="7">
        <f>IFERROR(E353/D353,0)</f>
        <v/>
      </c>
      <c r="J353" s="7">
        <f>IFERROR(F353/E353,0)</f>
        <v/>
      </c>
      <c r="K353" s="7">
        <f>IFERROR(G353/C353,0)</f>
        <v/>
      </c>
    </row>
    <row r="354">
      <c r="A354" s="2" t="inlineStr">
        <is>
          <t>2026-02-28</t>
        </is>
      </c>
      <c r="B354" s="2" t="inlineStr">
        <is>
          <t>Referral</t>
        </is>
      </c>
      <c r="C354" s="3" t="n">
        <v>77</v>
      </c>
      <c r="D354" s="3" t="n">
        <v>11</v>
      </c>
      <c r="E354" s="3" t="n">
        <v>3</v>
      </c>
      <c r="F354" s="3" t="n">
        <v>1</v>
      </c>
      <c r="G354" s="3" t="n">
        <v>1</v>
      </c>
      <c r="H354" s="4">
        <f>IFERROR(D354/C354,0)</f>
        <v/>
      </c>
      <c r="I354" s="4">
        <f>IFERROR(E354/D354,0)</f>
        <v/>
      </c>
      <c r="J354" s="4">
        <f>IFERROR(F354/E354,0)</f>
        <v/>
      </c>
      <c r="K354" s="4">
        <f>IFERROR(G354/C354,0)</f>
        <v/>
      </c>
    </row>
    <row r="355">
      <c r="A355" s="5" t="inlineStr">
        <is>
          <t>2026-02-28</t>
        </is>
      </c>
      <c r="B355" s="5" t="inlineStr">
        <is>
          <t>Direct</t>
        </is>
      </c>
      <c r="C355" s="6" t="n">
        <v>63</v>
      </c>
      <c r="D355" s="6" t="n">
        <v>4</v>
      </c>
      <c r="E355" s="6" t="n">
        <v>1</v>
      </c>
      <c r="F355" s="6" t="n">
        <v>0</v>
      </c>
      <c r="G355" s="6" t="n">
        <v>0</v>
      </c>
      <c r="H355" s="7">
        <f>IFERROR(D355/C355,0)</f>
        <v/>
      </c>
      <c r="I355" s="7">
        <f>IFERROR(E355/D355,0)</f>
        <v/>
      </c>
      <c r="J355" s="7">
        <f>IFERROR(F355/E355,0)</f>
        <v/>
      </c>
      <c r="K355" s="7">
        <f>IFERROR(G355/C355,0)</f>
        <v/>
      </c>
    </row>
    <row r="356">
      <c r="A356" s="2" t="inlineStr">
        <is>
          <t>2026-03-01</t>
        </is>
      </c>
      <c r="B356" s="2" t="inlineStr">
        <is>
          <t>Google Ads</t>
        </is>
      </c>
      <c r="C356" s="3" t="n">
        <v>231</v>
      </c>
      <c r="D356" s="3" t="n">
        <v>16</v>
      </c>
      <c r="E356" s="3" t="n">
        <v>3</v>
      </c>
      <c r="F356" s="3" t="n">
        <v>1</v>
      </c>
      <c r="G356" s="3" t="n">
        <v>1</v>
      </c>
      <c r="H356" s="4">
        <f>IFERROR(D356/C356,0)</f>
        <v/>
      </c>
      <c r="I356" s="4">
        <f>IFERROR(E356/D356,0)</f>
        <v/>
      </c>
      <c r="J356" s="4">
        <f>IFERROR(F356/E356,0)</f>
        <v/>
      </c>
      <c r="K356" s="4">
        <f>IFERROR(G356/C356,0)</f>
        <v/>
      </c>
    </row>
    <row r="357">
      <c r="A357" s="5" t="inlineStr">
        <is>
          <t>2026-03-01</t>
        </is>
      </c>
      <c r="B357" s="5" t="inlineStr">
        <is>
          <t>Facebook Ads</t>
        </is>
      </c>
      <c r="C357" s="6" t="n">
        <v>197</v>
      </c>
      <c r="D357" s="6" t="n">
        <v>6</v>
      </c>
      <c r="E357" s="6" t="n">
        <v>1</v>
      </c>
      <c r="F357" s="6" t="n">
        <v>0</v>
      </c>
      <c r="G357" s="6" t="n">
        <v>0</v>
      </c>
      <c r="H357" s="7">
        <f>IFERROR(D357/C357,0)</f>
        <v/>
      </c>
      <c r="I357" s="7">
        <f>IFERROR(E357/D357,0)</f>
        <v/>
      </c>
      <c r="J357" s="7">
        <f>IFERROR(F357/E357,0)</f>
        <v/>
      </c>
      <c r="K357" s="7">
        <f>IFERROR(G357/C357,0)</f>
        <v/>
      </c>
    </row>
    <row r="358">
      <c r="A358" s="2" t="inlineStr">
        <is>
          <t>2026-03-01</t>
        </is>
      </c>
      <c r="B358" s="2" t="inlineStr">
        <is>
          <t>Organic SEO</t>
        </is>
      </c>
      <c r="C358" s="3" t="n">
        <v>214</v>
      </c>
      <c r="D358" s="3" t="n">
        <v>18</v>
      </c>
      <c r="E358" s="3" t="n">
        <v>4</v>
      </c>
      <c r="F358" s="3" t="n">
        <v>1</v>
      </c>
      <c r="G358" s="3" t="n">
        <v>1</v>
      </c>
      <c r="H358" s="4">
        <f>IFERROR(D358/C358,0)</f>
        <v/>
      </c>
      <c r="I358" s="4">
        <f>IFERROR(E358/D358,0)</f>
        <v/>
      </c>
      <c r="J358" s="4">
        <f>IFERROR(F358/E358,0)</f>
        <v/>
      </c>
      <c r="K358" s="4">
        <f>IFERROR(G358/C358,0)</f>
        <v/>
      </c>
    </row>
    <row r="359">
      <c r="A359" s="5" t="inlineStr">
        <is>
          <t>2026-03-01</t>
        </is>
      </c>
      <c r="B359" s="5" t="inlineStr">
        <is>
          <t>Email</t>
        </is>
      </c>
      <c r="C359" s="6" t="n">
        <v>118</v>
      </c>
      <c r="D359" s="6" t="n">
        <v>14</v>
      </c>
      <c r="E359" s="6" t="n">
        <v>4</v>
      </c>
      <c r="F359" s="6" t="n">
        <v>1</v>
      </c>
      <c r="G359" s="6" t="n">
        <v>1</v>
      </c>
      <c r="H359" s="7">
        <f>IFERROR(D359/C359,0)</f>
        <v/>
      </c>
      <c r="I359" s="7">
        <f>IFERROR(E359/D359,0)</f>
        <v/>
      </c>
      <c r="J359" s="7">
        <f>IFERROR(F359/E359,0)</f>
        <v/>
      </c>
      <c r="K359" s="7">
        <f>IFERROR(G359/C359,0)</f>
        <v/>
      </c>
    </row>
    <row r="360">
      <c r="A360" s="2" t="inlineStr">
        <is>
          <t>2026-03-01</t>
        </is>
      </c>
      <c r="B360" s="2" t="inlineStr">
        <is>
          <t>Referral</t>
        </is>
      </c>
      <c r="C360" s="3" t="n">
        <v>63</v>
      </c>
      <c r="D360" s="3" t="n">
        <v>10</v>
      </c>
      <c r="E360" s="3" t="n">
        <v>2</v>
      </c>
      <c r="F360" s="3" t="n">
        <v>0</v>
      </c>
      <c r="G360" s="3" t="n">
        <v>1</v>
      </c>
      <c r="H360" s="4">
        <f>IFERROR(D360/C360,0)</f>
        <v/>
      </c>
      <c r="I360" s="4">
        <f>IFERROR(E360/D360,0)</f>
        <v/>
      </c>
      <c r="J360" s="4">
        <f>IFERROR(F360/E360,0)</f>
        <v/>
      </c>
      <c r="K360" s="4">
        <f>IFERROR(G360/C360,0)</f>
        <v/>
      </c>
    </row>
    <row r="361">
      <c r="A361" s="5" t="inlineStr">
        <is>
          <t>2026-03-01</t>
        </is>
      </c>
      <c r="B361" s="5" t="inlineStr">
        <is>
          <t>Direct</t>
        </is>
      </c>
      <c r="C361" s="6" t="n">
        <v>69</v>
      </c>
      <c r="D361" s="6" t="n">
        <v>4</v>
      </c>
      <c r="E361" s="6" t="n">
        <v>0</v>
      </c>
      <c r="F361" s="6" t="n">
        <v>0</v>
      </c>
      <c r="G361" s="6" t="n">
        <v>0</v>
      </c>
      <c r="H361" s="7">
        <f>IFERROR(D361/C361,0)</f>
        <v/>
      </c>
      <c r="I361" s="7">
        <f>IFERROR(E361/D361,0)</f>
        <v/>
      </c>
      <c r="J361" s="7">
        <f>IFERROR(F361/E361,0)</f>
        <v/>
      </c>
      <c r="K361" s="7">
        <f>IFERROR(G361/C361,0)</f>
        <v/>
      </c>
    </row>
    <row r="362">
      <c r="A362" s="2" t="inlineStr">
        <is>
          <t>2026-03-02</t>
        </is>
      </c>
      <c r="B362" s="2" t="inlineStr">
        <is>
          <t>Google Ads</t>
        </is>
      </c>
      <c r="C362" s="3" t="n">
        <v>204</v>
      </c>
      <c r="D362" s="3" t="n">
        <v>15</v>
      </c>
      <c r="E362" s="3" t="n">
        <v>4</v>
      </c>
      <c r="F362" s="3" t="n">
        <v>1</v>
      </c>
      <c r="G362" s="3" t="n">
        <v>0</v>
      </c>
      <c r="H362" s="4">
        <f>IFERROR(D362/C362,0)</f>
        <v/>
      </c>
      <c r="I362" s="4">
        <f>IFERROR(E362/D362,0)</f>
        <v/>
      </c>
      <c r="J362" s="4">
        <f>IFERROR(F362/E362,0)</f>
        <v/>
      </c>
      <c r="K362" s="4">
        <f>IFERROR(G362/C362,0)</f>
        <v/>
      </c>
    </row>
    <row r="363">
      <c r="A363" s="5" t="inlineStr">
        <is>
          <t>2026-03-02</t>
        </is>
      </c>
      <c r="B363" s="5" t="inlineStr">
        <is>
          <t>Facebook Ads</t>
        </is>
      </c>
      <c r="C363" s="6" t="n">
        <v>136</v>
      </c>
      <c r="D363" s="6" t="n">
        <v>4</v>
      </c>
      <c r="E363" s="6" t="n">
        <v>1</v>
      </c>
      <c r="F363" s="6" t="n">
        <v>0</v>
      </c>
      <c r="G363" s="6" t="n">
        <v>0</v>
      </c>
      <c r="H363" s="7">
        <f>IFERROR(D363/C363,0)</f>
        <v/>
      </c>
      <c r="I363" s="7">
        <f>IFERROR(E363/D363,0)</f>
        <v/>
      </c>
      <c r="J363" s="7">
        <f>IFERROR(F363/E363,0)</f>
        <v/>
      </c>
      <c r="K363" s="7">
        <f>IFERROR(G363/C363,0)</f>
        <v/>
      </c>
    </row>
    <row r="364">
      <c r="A364" s="2" t="inlineStr">
        <is>
          <t>2026-03-02</t>
        </is>
      </c>
      <c r="B364" s="2" t="inlineStr">
        <is>
          <t>Organic SEO</t>
        </is>
      </c>
      <c r="C364" s="3" t="n">
        <v>248</v>
      </c>
      <c r="D364" s="3" t="n">
        <v>17</v>
      </c>
      <c r="E364" s="3" t="n">
        <v>3</v>
      </c>
      <c r="F364" s="3" t="n">
        <v>1</v>
      </c>
      <c r="G364" s="3" t="n">
        <v>0</v>
      </c>
      <c r="H364" s="4">
        <f>IFERROR(D364/C364,0)</f>
        <v/>
      </c>
      <c r="I364" s="4">
        <f>IFERROR(E364/D364,0)</f>
        <v/>
      </c>
      <c r="J364" s="4">
        <f>IFERROR(F364/E364,0)</f>
        <v/>
      </c>
      <c r="K364" s="4">
        <f>IFERROR(G364/C364,0)</f>
        <v/>
      </c>
    </row>
    <row r="365">
      <c r="A365" s="5" t="inlineStr">
        <is>
          <t>2026-03-02</t>
        </is>
      </c>
      <c r="B365" s="5" t="inlineStr">
        <is>
          <t>Email</t>
        </is>
      </c>
      <c r="C365" s="6" t="n">
        <v>86</v>
      </c>
      <c r="D365" s="6" t="n">
        <v>11</v>
      </c>
      <c r="E365" s="6" t="n">
        <v>2</v>
      </c>
      <c r="F365" s="6" t="n">
        <v>0</v>
      </c>
      <c r="G365" s="6" t="n">
        <v>1</v>
      </c>
      <c r="H365" s="7">
        <f>IFERROR(D365/C365,0)</f>
        <v/>
      </c>
      <c r="I365" s="7">
        <f>IFERROR(E365/D365,0)</f>
        <v/>
      </c>
      <c r="J365" s="7">
        <f>IFERROR(F365/E365,0)</f>
        <v/>
      </c>
      <c r="K365" s="7">
        <f>IFERROR(G365/C365,0)</f>
        <v/>
      </c>
    </row>
    <row r="366">
      <c r="A366" s="2" t="inlineStr">
        <is>
          <t>2026-03-02</t>
        </is>
      </c>
      <c r="B366" s="2" t="inlineStr">
        <is>
          <t>Referral</t>
        </is>
      </c>
      <c r="C366" s="3" t="n">
        <v>14</v>
      </c>
      <c r="D366" s="3" t="n">
        <v>1</v>
      </c>
      <c r="E366" s="3" t="n">
        <v>0</v>
      </c>
      <c r="F366" s="3" t="n">
        <v>0</v>
      </c>
      <c r="G366" s="3" t="n">
        <v>0</v>
      </c>
      <c r="H366" s="4">
        <f>IFERROR(D366/C366,0)</f>
        <v/>
      </c>
      <c r="I366" s="4">
        <f>IFERROR(E366/D366,0)</f>
        <v/>
      </c>
      <c r="J366" s="4">
        <f>IFERROR(F366/E366,0)</f>
        <v/>
      </c>
      <c r="K366" s="4">
        <f>IFERROR(G366/C366,0)</f>
        <v/>
      </c>
    </row>
    <row r="367">
      <c r="A367" s="5" t="inlineStr">
        <is>
          <t>2026-03-02</t>
        </is>
      </c>
      <c r="B367" s="5" t="inlineStr">
        <is>
          <t>Direct</t>
        </is>
      </c>
      <c r="C367" s="6" t="n">
        <v>80</v>
      </c>
      <c r="D367" s="6" t="n">
        <v>4</v>
      </c>
      <c r="E367" s="6" t="n">
        <v>1</v>
      </c>
      <c r="F367" s="6" t="n">
        <v>0</v>
      </c>
      <c r="G367" s="6" t="n">
        <v>0</v>
      </c>
      <c r="H367" s="7">
        <f>IFERROR(D367/C367,0)</f>
        <v/>
      </c>
      <c r="I367" s="7">
        <f>IFERROR(E367/D367,0)</f>
        <v/>
      </c>
      <c r="J367" s="7">
        <f>IFERROR(F367/E367,0)</f>
        <v/>
      </c>
      <c r="K367" s="7">
        <f>IFERROR(G367/C367,0)</f>
        <v/>
      </c>
    </row>
    <row r="368">
      <c r="A368" s="2" t="inlineStr">
        <is>
          <t>2026-03-03</t>
        </is>
      </c>
      <c r="B368" s="2" t="inlineStr">
        <is>
          <t>Google Ads</t>
        </is>
      </c>
      <c r="C368" s="3" t="n">
        <v>152</v>
      </c>
      <c r="D368" s="3" t="n">
        <v>11</v>
      </c>
      <c r="E368" s="3" t="n">
        <v>2</v>
      </c>
      <c r="F368" s="3" t="n">
        <v>0</v>
      </c>
      <c r="G368" s="3" t="n">
        <v>0</v>
      </c>
      <c r="H368" s="4">
        <f>IFERROR(D368/C368,0)</f>
        <v/>
      </c>
      <c r="I368" s="4">
        <f>IFERROR(E368/D368,0)</f>
        <v/>
      </c>
      <c r="J368" s="4">
        <f>IFERROR(F368/E368,0)</f>
        <v/>
      </c>
      <c r="K368" s="4">
        <f>IFERROR(G368/C368,0)</f>
        <v/>
      </c>
    </row>
    <row r="369">
      <c r="A369" s="5" t="inlineStr">
        <is>
          <t>2026-03-03</t>
        </is>
      </c>
      <c r="B369" s="5" t="inlineStr">
        <is>
          <t>Facebook Ads</t>
        </is>
      </c>
      <c r="C369" s="6" t="n">
        <v>196</v>
      </c>
      <c r="D369" s="6" t="n">
        <v>4</v>
      </c>
      <c r="E369" s="6" t="n">
        <v>1</v>
      </c>
      <c r="F369" s="6" t="n">
        <v>0</v>
      </c>
      <c r="G369" s="6" t="n">
        <v>0</v>
      </c>
      <c r="H369" s="7">
        <f>IFERROR(D369/C369,0)</f>
        <v/>
      </c>
      <c r="I369" s="7">
        <f>IFERROR(E369/D369,0)</f>
        <v/>
      </c>
      <c r="J369" s="7">
        <f>IFERROR(F369/E369,0)</f>
        <v/>
      </c>
      <c r="K369" s="7">
        <f>IFERROR(G369/C369,0)</f>
        <v/>
      </c>
    </row>
    <row r="370">
      <c r="A370" s="2" t="inlineStr">
        <is>
          <t>2026-03-03</t>
        </is>
      </c>
      <c r="B370" s="2" t="inlineStr">
        <is>
          <t>Organic SEO</t>
        </is>
      </c>
      <c r="C370" s="3" t="n">
        <v>184</v>
      </c>
      <c r="D370" s="3" t="n">
        <v>13</v>
      </c>
      <c r="E370" s="3" t="n">
        <v>3</v>
      </c>
      <c r="F370" s="3" t="n">
        <v>1</v>
      </c>
      <c r="G370" s="3" t="n">
        <v>0</v>
      </c>
      <c r="H370" s="4">
        <f>IFERROR(D370/C370,0)</f>
        <v/>
      </c>
      <c r="I370" s="4">
        <f>IFERROR(E370/D370,0)</f>
        <v/>
      </c>
      <c r="J370" s="4">
        <f>IFERROR(F370/E370,0)</f>
        <v/>
      </c>
      <c r="K370" s="4">
        <f>IFERROR(G370/C370,0)</f>
        <v/>
      </c>
    </row>
    <row r="371">
      <c r="A371" s="5" t="inlineStr">
        <is>
          <t>2026-03-03</t>
        </is>
      </c>
      <c r="B371" s="5" t="inlineStr">
        <is>
          <t>Email</t>
        </is>
      </c>
      <c r="C371" s="6" t="n">
        <v>117</v>
      </c>
      <c r="D371" s="6" t="n">
        <v>16</v>
      </c>
      <c r="E371" s="6" t="n">
        <v>4</v>
      </c>
      <c r="F371" s="6" t="n">
        <v>1</v>
      </c>
      <c r="G371" s="6" t="n">
        <v>1</v>
      </c>
      <c r="H371" s="7">
        <f>IFERROR(D371/C371,0)</f>
        <v/>
      </c>
      <c r="I371" s="7">
        <f>IFERROR(E371/D371,0)</f>
        <v/>
      </c>
      <c r="J371" s="7">
        <f>IFERROR(F371/E371,0)</f>
        <v/>
      </c>
      <c r="K371" s="7">
        <f>IFERROR(G371/C371,0)</f>
        <v/>
      </c>
    </row>
    <row r="372">
      <c r="A372" s="2" t="inlineStr">
        <is>
          <t>2026-03-03</t>
        </is>
      </c>
      <c r="B372" s="2" t="inlineStr">
        <is>
          <t>Referral</t>
        </is>
      </c>
      <c r="C372" s="3" t="n">
        <v>40</v>
      </c>
      <c r="D372" s="3" t="n">
        <v>7</v>
      </c>
      <c r="E372" s="3" t="n">
        <v>1</v>
      </c>
      <c r="F372" s="3" t="n">
        <v>0</v>
      </c>
      <c r="G372" s="3" t="n">
        <v>1</v>
      </c>
      <c r="H372" s="4">
        <f>IFERROR(D372/C372,0)</f>
        <v/>
      </c>
      <c r="I372" s="4">
        <f>IFERROR(E372/D372,0)</f>
        <v/>
      </c>
      <c r="J372" s="4">
        <f>IFERROR(F372/E372,0)</f>
        <v/>
      </c>
      <c r="K372" s="4">
        <f>IFERROR(G372/C372,0)</f>
        <v/>
      </c>
    </row>
    <row r="373">
      <c r="A373" s="5" t="inlineStr">
        <is>
          <t>2026-03-03</t>
        </is>
      </c>
      <c r="B373" s="5" t="inlineStr">
        <is>
          <t>Direct</t>
        </is>
      </c>
      <c r="C373" s="6" t="n">
        <v>75</v>
      </c>
      <c r="D373" s="6" t="n">
        <v>5</v>
      </c>
      <c r="E373" s="6" t="n">
        <v>1</v>
      </c>
      <c r="F373" s="6" t="n">
        <v>0</v>
      </c>
      <c r="G373" s="6" t="n">
        <v>0</v>
      </c>
      <c r="H373" s="7">
        <f>IFERROR(D373/C373,0)</f>
        <v/>
      </c>
      <c r="I373" s="7">
        <f>IFERROR(E373/D373,0)</f>
        <v/>
      </c>
      <c r="J373" s="7">
        <f>IFERROR(F373/E373,0)</f>
        <v/>
      </c>
      <c r="K373" s="7">
        <f>IFERROR(G373/C373,0)</f>
        <v/>
      </c>
    </row>
    <row r="374">
      <c r="A374" s="2" t="inlineStr">
        <is>
          <t>2026-03-04</t>
        </is>
      </c>
      <c r="B374" s="2" t="inlineStr">
        <is>
          <t>Google Ads</t>
        </is>
      </c>
      <c r="C374" s="3" t="n">
        <v>187</v>
      </c>
      <c r="D374" s="3" t="n">
        <v>13</v>
      </c>
      <c r="E374" s="3" t="n">
        <v>3</v>
      </c>
      <c r="F374" s="3" t="n">
        <v>1</v>
      </c>
      <c r="G374" s="3" t="n">
        <v>0</v>
      </c>
      <c r="H374" s="4">
        <f>IFERROR(D374/C374,0)</f>
        <v/>
      </c>
      <c r="I374" s="4">
        <f>IFERROR(E374/D374,0)</f>
        <v/>
      </c>
      <c r="J374" s="4">
        <f>IFERROR(F374/E374,0)</f>
        <v/>
      </c>
      <c r="K374" s="4">
        <f>IFERROR(G374/C374,0)</f>
        <v/>
      </c>
    </row>
    <row r="375">
      <c r="A375" s="5" t="inlineStr">
        <is>
          <t>2026-03-04</t>
        </is>
      </c>
      <c r="B375" s="5" t="inlineStr">
        <is>
          <t>Facebook Ads</t>
        </is>
      </c>
      <c r="C375" s="6" t="n">
        <v>192</v>
      </c>
      <c r="D375" s="6" t="n">
        <v>8</v>
      </c>
      <c r="E375" s="6" t="n">
        <v>2</v>
      </c>
      <c r="F375" s="6" t="n">
        <v>0</v>
      </c>
      <c r="G375" s="6" t="n">
        <v>0</v>
      </c>
      <c r="H375" s="7">
        <f>IFERROR(D375/C375,0)</f>
        <v/>
      </c>
      <c r="I375" s="7">
        <f>IFERROR(E375/D375,0)</f>
        <v/>
      </c>
      <c r="J375" s="7">
        <f>IFERROR(F375/E375,0)</f>
        <v/>
      </c>
      <c r="K375" s="7">
        <f>IFERROR(G375/C375,0)</f>
        <v/>
      </c>
    </row>
    <row r="376">
      <c r="A376" s="2" t="inlineStr">
        <is>
          <t>2026-03-04</t>
        </is>
      </c>
      <c r="B376" s="2" t="inlineStr">
        <is>
          <t>Organic SEO</t>
        </is>
      </c>
      <c r="C376" s="3" t="n">
        <v>263</v>
      </c>
      <c r="D376" s="3" t="n">
        <v>26</v>
      </c>
      <c r="E376" s="3" t="n">
        <v>6</v>
      </c>
      <c r="F376" s="3" t="n">
        <v>2</v>
      </c>
      <c r="G376" s="3" t="n">
        <v>2</v>
      </c>
      <c r="H376" s="4">
        <f>IFERROR(D376/C376,0)</f>
        <v/>
      </c>
      <c r="I376" s="4">
        <f>IFERROR(E376/D376,0)</f>
        <v/>
      </c>
      <c r="J376" s="4">
        <f>IFERROR(F376/E376,0)</f>
        <v/>
      </c>
      <c r="K376" s="4">
        <f>IFERROR(G376/C376,0)</f>
        <v/>
      </c>
    </row>
    <row r="377">
      <c r="A377" s="5" t="inlineStr">
        <is>
          <t>2026-03-04</t>
        </is>
      </c>
      <c r="B377" s="5" t="inlineStr">
        <is>
          <t>Email</t>
        </is>
      </c>
      <c r="C377" s="6" t="n">
        <v>114</v>
      </c>
      <c r="D377" s="6" t="n">
        <v>14</v>
      </c>
      <c r="E377" s="6" t="n">
        <v>3</v>
      </c>
      <c r="F377" s="6" t="n">
        <v>1</v>
      </c>
      <c r="G377" s="6" t="n">
        <v>1</v>
      </c>
      <c r="H377" s="7">
        <f>IFERROR(D377/C377,0)</f>
        <v/>
      </c>
      <c r="I377" s="7">
        <f>IFERROR(E377/D377,0)</f>
        <v/>
      </c>
      <c r="J377" s="7">
        <f>IFERROR(F377/E377,0)</f>
        <v/>
      </c>
      <c r="K377" s="7">
        <f>IFERROR(G377/C377,0)</f>
        <v/>
      </c>
    </row>
    <row r="378">
      <c r="A378" s="2" t="inlineStr">
        <is>
          <t>2026-03-04</t>
        </is>
      </c>
      <c r="B378" s="2" t="inlineStr">
        <is>
          <t>Referral</t>
        </is>
      </c>
      <c r="C378" s="3" t="n">
        <v>38</v>
      </c>
      <c r="D378" s="3" t="n">
        <v>4</v>
      </c>
      <c r="E378" s="3" t="n">
        <v>0</v>
      </c>
      <c r="F378" s="3" t="n">
        <v>0</v>
      </c>
      <c r="G378" s="3" t="n">
        <v>0</v>
      </c>
      <c r="H378" s="4">
        <f>IFERROR(D378/C378,0)</f>
        <v/>
      </c>
      <c r="I378" s="4">
        <f>IFERROR(E378/D378,0)</f>
        <v/>
      </c>
      <c r="J378" s="4">
        <f>IFERROR(F378/E378,0)</f>
        <v/>
      </c>
      <c r="K378" s="4">
        <f>IFERROR(G378/C378,0)</f>
        <v/>
      </c>
    </row>
    <row r="379">
      <c r="A379" s="5" t="inlineStr">
        <is>
          <t>2026-03-04</t>
        </is>
      </c>
      <c r="B379" s="5" t="inlineStr">
        <is>
          <t>Direct</t>
        </is>
      </c>
      <c r="C379" s="6" t="n">
        <v>24</v>
      </c>
      <c r="D379" s="6" t="n">
        <v>1</v>
      </c>
      <c r="E379" s="6" t="n">
        <v>0</v>
      </c>
      <c r="F379" s="6" t="n">
        <v>0</v>
      </c>
      <c r="G379" s="6" t="n">
        <v>0</v>
      </c>
      <c r="H379" s="7">
        <f>IFERROR(D379/C379,0)</f>
        <v/>
      </c>
      <c r="I379" s="7">
        <f>IFERROR(E379/D379,0)</f>
        <v/>
      </c>
      <c r="J379" s="7">
        <f>IFERROR(F379/E379,0)</f>
        <v/>
      </c>
      <c r="K379" s="7">
        <f>IFERROR(G379/C379,0)</f>
        <v/>
      </c>
    </row>
    <row r="380">
      <c r="A380" s="2" t="inlineStr">
        <is>
          <t>2026-03-05</t>
        </is>
      </c>
      <c r="B380" s="2" t="inlineStr">
        <is>
          <t>Google Ads</t>
        </is>
      </c>
      <c r="C380" s="3" t="n">
        <v>166</v>
      </c>
      <c r="D380" s="3" t="n">
        <v>12</v>
      </c>
      <c r="E380" s="3" t="n">
        <v>3</v>
      </c>
      <c r="F380" s="3" t="n">
        <v>1</v>
      </c>
      <c r="G380" s="3" t="n">
        <v>0</v>
      </c>
      <c r="H380" s="4">
        <f>IFERROR(D380/C380,0)</f>
        <v/>
      </c>
      <c r="I380" s="4">
        <f>IFERROR(E380/D380,0)</f>
        <v/>
      </c>
      <c r="J380" s="4">
        <f>IFERROR(F380/E380,0)</f>
        <v/>
      </c>
      <c r="K380" s="4">
        <f>IFERROR(G380/C380,0)</f>
        <v/>
      </c>
    </row>
    <row r="381">
      <c r="A381" s="5" t="inlineStr">
        <is>
          <t>2026-03-05</t>
        </is>
      </c>
      <c r="B381" s="5" t="inlineStr">
        <is>
          <t>Facebook Ads</t>
        </is>
      </c>
      <c r="C381" s="6" t="n">
        <v>194</v>
      </c>
      <c r="D381" s="6" t="n">
        <v>8</v>
      </c>
      <c r="E381" s="6" t="n">
        <v>2</v>
      </c>
      <c r="F381" s="6" t="n">
        <v>0</v>
      </c>
      <c r="G381" s="6" t="n">
        <v>0</v>
      </c>
      <c r="H381" s="7">
        <f>IFERROR(D381/C381,0)</f>
        <v/>
      </c>
      <c r="I381" s="7">
        <f>IFERROR(E381/D381,0)</f>
        <v/>
      </c>
      <c r="J381" s="7">
        <f>IFERROR(F381/E381,0)</f>
        <v/>
      </c>
      <c r="K381" s="7">
        <f>IFERROR(G381/C381,0)</f>
        <v/>
      </c>
    </row>
    <row r="382">
      <c r="A382" s="2" t="inlineStr">
        <is>
          <t>2026-03-05</t>
        </is>
      </c>
      <c r="B382" s="2" t="inlineStr">
        <is>
          <t>Organic SEO</t>
        </is>
      </c>
      <c r="C382" s="3" t="n">
        <v>264</v>
      </c>
      <c r="D382" s="3" t="n">
        <v>23</v>
      </c>
      <c r="E382" s="3" t="n">
        <v>6</v>
      </c>
      <c r="F382" s="3" t="n">
        <v>2</v>
      </c>
      <c r="G382" s="3" t="n">
        <v>1</v>
      </c>
      <c r="H382" s="4">
        <f>IFERROR(D382/C382,0)</f>
        <v/>
      </c>
      <c r="I382" s="4">
        <f>IFERROR(E382/D382,0)</f>
        <v/>
      </c>
      <c r="J382" s="4">
        <f>IFERROR(F382/E382,0)</f>
        <v/>
      </c>
      <c r="K382" s="4">
        <f>IFERROR(G382/C382,0)</f>
        <v/>
      </c>
    </row>
    <row r="383">
      <c r="A383" s="5" t="inlineStr">
        <is>
          <t>2026-03-05</t>
        </is>
      </c>
      <c r="B383" s="5" t="inlineStr">
        <is>
          <t>Email</t>
        </is>
      </c>
      <c r="C383" s="6" t="n">
        <v>108</v>
      </c>
      <c r="D383" s="6" t="n">
        <v>12</v>
      </c>
      <c r="E383" s="6" t="n">
        <v>3</v>
      </c>
      <c r="F383" s="6" t="n">
        <v>1</v>
      </c>
      <c r="G383" s="6" t="n">
        <v>1</v>
      </c>
      <c r="H383" s="7">
        <f>IFERROR(D383/C383,0)</f>
        <v/>
      </c>
      <c r="I383" s="7">
        <f>IFERROR(E383/D383,0)</f>
        <v/>
      </c>
      <c r="J383" s="7">
        <f>IFERROR(F383/E383,0)</f>
        <v/>
      </c>
      <c r="K383" s="7">
        <f>IFERROR(G383/C383,0)</f>
        <v/>
      </c>
    </row>
    <row r="384">
      <c r="A384" s="2" t="inlineStr">
        <is>
          <t>2026-03-05</t>
        </is>
      </c>
      <c r="B384" s="2" t="inlineStr">
        <is>
          <t>Referral</t>
        </is>
      </c>
      <c r="C384" s="3" t="n">
        <v>72</v>
      </c>
      <c r="D384" s="3" t="n">
        <v>12</v>
      </c>
      <c r="E384" s="3" t="n">
        <v>3</v>
      </c>
      <c r="F384" s="3" t="n">
        <v>1</v>
      </c>
      <c r="G384" s="3" t="n">
        <v>1</v>
      </c>
      <c r="H384" s="4">
        <f>IFERROR(D384/C384,0)</f>
        <v/>
      </c>
      <c r="I384" s="4">
        <f>IFERROR(E384/D384,0)</f>
        <v/>
      </c>
      <c r="J384" s="4">
        <f>IFERROR(F384/E384,0)</f>
        <v/>
      </c>
      <c r="K384" s="4">
        <f>IFERROR(G384/C384,0)</f>
        <v/>
      </c>
    </row>
    <row r="385">
      <c r="A385" s="5" t="inlineStr">
        <is>
          <t>2026-03-05</t>
        </is>
      </c>
      <c r="B385" s="5" t="inlineStr">
        <is>
          <t>Direct</t>
        </is>
      </c>
      <c r="C385" s="6" t="n">
        <v>45</v>
      </c>
      <c r="D385" s="6" t="n">
        <v>3</v>
      </c>
      <c r="E385" s="6" t="n">
        <v>0</v>
      </c>
      <c r="F385" s="6" t="n">
        <v>0</v>
      </c>
      <c r="G385" s="6" t="n">
        <v>0</v>
      </c>
      <c r="H385" s="7">
        <f>IFERROR(D385/C385,0)</f>
        <v/>
      </c>
      <c r="I385" s="7">
        <f>IFERROR(E385/D385,0)</f>
        <v/>
      </c>
      <c r="J385" s="7">
        <f>IFERROR(F385/E385,0)</f>
        <v/>
      </c>
      <c r="K385" s="7">
        <f>IFERROR(G385/C385,0)</f>
        <v/>
      </c>
    </row>
    <row r="386">
      <c r="A386" s="2" t="inlineStr">
        <is>
          <t>2026-03-06</t>
        </is>
      </c>
      <c r="B386" s="2" t="inlineStr">
        <is>
          <t>Google Ads</t>
        </is>
      </c>
      <c r="C386" s="3" t="n">
        <v>176</v>
      </c>
      <c r="D386" s="3" t="n">
        <v>15</v>
      </c>
      <c r="E386" s="3" t="n">
        <v>3</v>
      </c>
      <c r="F386" s="3" t="n">
        <v>1</v>
      </c>
      <c r="G386" s="3" t="n">
        <v>1</v>
      </c>
      <c r="H386" s="4">
        <f>IFERROR(D386/C386,0)</f>
        <v/>
      </c>
      <c r="I386" s="4">
        <f>IFERROR(E386/D386,0)</f>
        <v/>
      </c>
      <c r="J386" s="4">
        <f>IFERROR(F386/E386,0)</f>
        <v/>
      </c>
      <c r="K386" s="4">
        <f>IFERROR(G386/C386,0)</f>
        <v/>
      </c>
    </row>
    <row r="387">
      <c r="A387" s="5" t="inlineStr">
        <is>
          <t>2026-03-06</t>
        </is>
      </c>
      <c r="B387" s="5" t="inlineStr">
        <is>
          <t>Facebook Ads</t>
        </is>
      </c>
      <c r="C387" s="6" t="n">
        <v>171</v>
      </c>
      <c r="D387" s="6" t="n">
        <v>8</v>
      </c>
      <c r="E387" s="6" t="n">
        <v>1</v>
      </c>
      <c r="F387" s="6" t="n">
        <v>0</v>
      </c>
      <c r="G387" s="6" t="n">
        <v>0</v>
      </c>
      <c r="H387" s="7">
        <f>IFERROR(D387/C387,0)</f>
        <v/>
      </c>
      <c r="I387" s="7">
        <f>IFERROR(E387/D387,0)</f>
        <v/>
      </c>
      <c r="J387" s="7">
        <f>IFERROR(F387/E387,0)</f>
        <v/>
      </c>
      <c r="K387" s="7">
        <f>IFERROR(G387/C387,0)</f>
        <v/>
      </c>
    </row>
    <row r="388">
      <c r="A388" s="2" t="inlineStr">
        <is>
          <t>2026-03-06</t>
        </is>
      </c>
      <c r="B388" s="2" t="inlineStr">
        <is>
          <t>Organic SEO</t>
        </is>
      </c>
      <c r="C388" s="3" t="n">
        <v>266</v>
      </c>
      <c r="D388" s="3" t="n">
        <v>24</v>
      </c>
      <c r="E388" s="3" t="n">
        <v>6</v>
      </c>
      <c r="F388" s="3" t="n">
        <v>2</v>
      </c>
      <c r="G388" s="3" t="n">
        <v>2</v>
      </c>
      <c r="H388" s="4">
        <f>IFERROR(D388/C388,0)</f>
        <v/>
      </c>
      <c r="I388" s="4">
        <f>IFERROR(E388/D388,0)</f>
        <v/>
      </c>
      <c r="J388" s="4">
        <f>IFERROR(F388/E388,0)</f>
        <v/>
      </c>
      <c r="K388" s="4">
        <f>IFERROR(G388/C388,0)</f>
        <v/>
      </c>
    </row>
    <row r="389">
      <c r="A389" s="5" t="inlineStr">
        <is>
          <t>2026-03-06</t>
        </is>
      </c>
      <c r="B389" s="5" t="inlineStr">
        <is>
          <t>Email</t>
        </is>
      </c>
      <c r="C389" s="6" t="n">
        <v>138</v>
      </c>
      <c r="D389" s="6" t="n">
        <v>19</v>
      </c>
      <c r="E389" s="6" t="n">
        <v>4</v>
      </c>
      <c r="F389" s="6" t="n">
        <v>1</v>
      </c>
      <c r="G389" s="6" t="n">
        <v>1</v>
      </c>
      <c r="H389" s="7">
        <f>IFERROR(D389/C389,0)</f>
        <v/>
      </c>
      <c r="I389" s="7">
        <f>IFERROR(E389/D389,0)</f>
        <v/>
      </c>
      <c r="J389" s="7">
        <f>IFERROR(F389/E389,0)</f>
        <v/>
      </c>
      <c r="K389" s="7">
        <f>IFERROR(G389/C389,0)</f>
        <v/>
      </c>
    </row>
    <row r="390">
      <c r="A390" s="2" t="inlineStr">
        <is>
          <t>2026-03-06</t>
        </is>
      </c>
      <c r="B390" s="2" t="inlineStr">
        <is>
          <t>Referral</t>
        </is>
      </c>
      <c r="C390" s="3" t="n">
        <v>34</v>
      </c>
      <c r="D390" s="3" t="n">
        <v>5</v>
      </c>
      <c r="E390" s="3" t="n">
        <v>1</v>
      </c>
      <c r="F390" s="3" t="n">
        <v>0</v>
      </c>
      <c r="G390" s="3" t="n">
        <v>0</v>
      </c>
      <c r="H390" s="4">
        <f>IFERROR(D390/C390,0)</f>
        <v/>
      </c>
      <c r="I390" s="4">
        <f>IFERROR(E390/D390,0)</f>
        <v/>
      </c>
      <c r="J390" s="4">
        <f>IFERROR(F390/E390,0)</f>
        <v/>
      </c>
      <c r="K390" s="4">
        <f>IFERROR(G390/C390,0)</f>
        <v/>
      </c>
    </row>
    <row r="391">
      <c r="A391" s="5" t="inlineStr">
        <is>
          <t>2026-03-06</t>
        </is>
      </c>
      <c r="B391" s="5" t="inlineStr">
        <is>
          <t>Direct</t>
        </is>
      </c>
      <c r="C391" s="6" t="n">
        <v>78</v>
      </c>
      <c r="D391" s="6" t="n">
        <v>4</v>
      </c>
      <c r="E391" s="6" t="n">
        <v>0</v>
      </c>
      <c r="F391" s="6" t="n">
        <v>0</v>
      </c>
      <c r="G391" s="6" t="n">
        <v>0</v>
      </c>
      <c r="H391" s="7">
        <f>IFERROR(D391/C391,0)</f>
        <v/>
      </c>
      <c r="I391" s="7">
        <f>IFERROR(E391/D391,0)</f>
        <v/>
      </c>
      <c r="J391" s="7">
        <f>IFERROR(F391/E391,0)</f>
        <v/>
      </c>
      <c r="K391" s="7">
        <f>IFERROR(G391/C391,0)</f>
        <v/>
      </c>
    </row>
    <row r="392">
      <c r="A392" s="2" t="inlineStr">
        <is>
          <t>2026-03-07</t>
        </is>
      </c>
      <c r="B392" s="2" t="inlineStr">
        <is>
          <t>Google Ads</t>
        </is>
      </c>
      <c r="C392" s="3" t="n">
        <v>234</v>
      </c>
      <c r="D392" s="3" t="n">
        <v>19</v>
      </c>
      <c r="E392" s="3" t="n">
        <v>5</v>
      </c>
      <c r="F392" s="3" t="n">
        <v>2</v>
      </c>
      <c r="G392" s="3" t="n">
        <v>0</v>
      </c>
      <c r="H392" s="4">
        <f>IFERROR(D392/C392,0)</f>
        <v/>
      </c>
      <c r="I392" s="4">
        <f>IFERROR(E392/D392,0)</f>
        <v/>
      </c>
      <c r="J392" s="4">
        <f>IFERROR(F392/E392,0)</f>
        <v/>
      </c>
      <c r="K392" s="4">
        <f>IFERROR(G392/C392,0)</f>
        <v/>
      </c>
    </row>
    <row r="393">
      <c r="A393" s="5" t="inlineStr">
        <is>
          <t>2026-03-07</t>
        </is>
      </c>
      <c r="B393" s="5" t="inlineStr">
        <is>
          <t>Facebook Ads</t>
        </is>
      </c>
      <c r="C393" s="6" t="n">
        <v>181</v>
      </c>
      <c r="D393" s="6" t="n">
        <v>4</v>
      </c>
      <c r="E393" s="6" t="n">
        <v>0</v>
      </c>
      <c r="F393" s="6" t="n">
        <v>0</v>
      </c>
      <c r="G393" s="6" t="n">
        <v>0</v>
      </c>
      <c r="H393" s="7">
        <f>IFERROR(D393/C393,0)</f>
        <v/>
      </c>
      <c r="I393" s="7">
        <f>IFERROR(E393/D393,0)</f>
        <v/>
      </c>
      <c r="J393" s="7">
        <f>IFERROR(F393/E393,0)</f>
        <v/>
      </c>
      <c r="K393" s="7">
        <f>IFERROR(G393/C393,0)</f>
        <v/>
      </c>
    </row>
    <row r="394">
      <c r="A394" s="2" t="inlineStr">
        <is>
          <t>2026-03-07</t>
        </is>
      </c>
      <c r="B394" s="2" t="inlineStr">
        <is>
          <t>Organic SEO</t>
        </is>
      </c>
      <c r="C394" s="3" t="n">
        <v>267</v>
      </c>
      <c r="D394" s="3" t="n">
        <v>26</v>
      </c>
      <c r="E394" s="3" t="n">
        <v>6</v>
      </c>
      <c r="F394" s="3" t="n">
        <v>2</v>
      </c>
      <c r="G394" s="3" t="n">
        <v>1</v>
      </c>
      <c r="H394" s="4">
        <f>IFERROR(D394/C394,0)</f>
        <v/>
      </c>
      <c r="I394" s="4">
        <f>IFERROR(E394/D394,0)</f>
        <v/>
      </c>
      <c r="J394" s="4">
        <f>IFERROR(F394/E394,0)</f>
        <v/>
      </c>
      <c r="K394" s="4">
        <f>IFERROR(G394/C394,0)</f>
        <v/>
      </c>
    </row>
    <row r="395">
      <c r="A395" s="5" t="inlineStr">
        <is>
          <t>2026-03-07</t>
        </is>
      </c>
      <c r="B395" s="5" t="inlineStr">
        <is>
          <t>Email</t>
        </is>
      </c>
      <c r="C395" s="6" t="n">
        <v>92</v>
      </c>
      <c r="D395" s="6" t="n">
        <v>12</v>
      </c>
      <c r="E395" s="6" t="n">
        <v>3</v>
      </c>
      <c r="F395" s="6" t="n">
        <v>1</v>
      </c>
      <c r="G395" s="6" t="n">
        <v>1</v>
      </c>
      <c r="H395" s="7">
        <f>IFERROR(D395/C395,0)</f>
        <v/>
      </c>
      <c r="I395" s="7">
        <f>IFERROR(E395/D395,0)</f>
        <v/>
      </c>
      <c r="J395" s="7">
        <f>IFERROR(F395/E395,0)</f>
        <v/>
      </c>
      <c r="K395" s="7">
        <f>IFERROR(G395/C395,0)</f>
        <v/>
      </c>
    </row>
    <row r="396">
      <c r="A396" s="2" t="inlineStr">
        <is>
          <t>2026-03-07</t>
        </is>
      </c>
      <c r="B396" s="2" t="inlineStr">
        <is>
          <t>Referral</t>
        </is>
      </c>
      <c r="C396" s="3" t="n">
        <v>86</v>
      </c>
      <c r="D396" s="3" t="n">
        <v>15</v>
      </c>
      <c r="E396" s="3" t="n">
        <v>4</v>
      </c>
      <c r="F396" s="3" t="n">
        <v>1</v>
      </c>
      <c r="G396" s="3" t="n">
        <v>1</v>
      </c>
      <c r="H396" s="4">
        <f>IFERROR(D396/C396,0)</f>
        <v/>
      </c>
      <c r="I396" s="4">
        <f>IFERROR(E396/D396,0)</f>
        <v/>
      </c>
      <c r="J396" s="4">
        <f>IFERROR(F396/E396,0)</f>
        <v/>
      </c>
      <c r="K396" s="4">
        <f>IFERROR(G396/C396,0)</f>
        <v/>
      </c>
    </row>
    <row r="397">
      <c r="A397" s="5" t="inlineStr">
        <is>
          <t>2026-03-07</t>
        </is>
      </c>
      <c r="B397" s="5" t="inlineStr">
        <is>
          <t>Direct</t>
        </is>
      </c>
      <c r="C397" s="6" t="n">
        <v>21</v>
      </c>
      <c r="D397" s="6" t="n">
        <v>1</v>
      </c>
      <c r="E397" s="6" t="n">
        <v>0</v>
      </c>
      <c r="F397" s="6" t="n">
        <v>0</v>
      </c>
      <c r="G397" s="6" t="n">
        <v>0</v>
      </c>
      <c r="H397" s="7">
        <f>IFERROR(D397/C397,0)</f>
        <v/>
      </c>
      <c r="I397" s="7">
        <f>IFERROR(E397/D397,0)</f>
        <v/>
      </c>
      <c r="J397" s="7">
        <f>IFERROR(F397/E397,0)</f>
        <v/>
      </c>
      <c r="K397" s="7">
        <f>IFERROR(G397/C397,0)</f>
        <v/>
      </c>
    </row>
    <row r="398">
      <c r="A398" s="2" t="inlineStr">
        <is>
          <t>2026-03-08</t>
        </is>
      </c>
      <c r="B398" s="2" t="inlineStr">
        <is>
          <t>Google Ads</t>
        </is>
      </c>
      <c r="C398" s="3" t="n">
        <v>144</v>
      </c>
      <c r="D398" s="3" t="n">
        <v>13</v>
      </c>
      <c r="E398" s="3" t="n">
        <v>3</v>
      </c>
      <c r="F398" s="3" t="n">
        <v>1</v>
      </c>
      <c r="G398" s="3" t="n">
        <v>0</v>
      </c>
      <c r="H398" s="4">
        <f>IFERROR(D398/C398,0)</f>
        <v/>
      </c>
      <c r="I398" s="4">
        <f>IFERROR(E398/D398,0)</f>
        <v/>
      </c>
      <c r="J398" s="4">
        <f>IFERROR(F398/E398,0)</f>
        <v/>
      </c>
      <c r="K398" s="4">
        <f>IFERROR(G398/C398,0)</f>
        <v/>
      </c>
    </row>
    <row r="399">
      <c r="A399" s="5" t="inlineStr">
        <is>
          <t>2026-03-08</t>
        </is>
      </c>
      <c r="B399" s="5" t="inlineStr">
        <is>
          <t>Facebook Ads</t>
        </is>
      </c>
      <c r="C399" s="6" t="n">
        <v>104</v>
      </c>
      <c r="D399" s="6" t="n">
        <v>5</v>
      </c>
      <c r="E399" s="6" t="n">
        <v>1</v>
      </c>
      <c r="F399" s="6" t="n">
        <v>0</v>
      </c>
      <c r="G399" s="6" t="n">
        <v>0</v>
      </c>
      <c r="H399" s="7">
        <f>IFERROR(D399/C399,0)</f>
        <v/>
      </c>
      <c r="I399" s="7">
        <f>IFERROR(E399/D399,0)</f>
        <v/>
      </c>
      <c r="J399" s="7">
        <f>IFERROR(F399/E399,0)</f>
        <v/>
      </c>
      <c r="K399" s="7">
        <f>IFERROR(G399/C399,0)</f>
        <v/>
      </c>
    </row>
    <row r="400">
      <c r="A400" s="2" t="inlineStr">
        <is>
          <t>2026-03-08</t>
        </is>
      </c>
      <c r="B400" s="2" t="inlineStr">
        <is>
          <t>Organic SEO</t>
        </is>
      </c>
      <c r="C400" s="3" t="n">
        <v>217</v>
      </c>
      <c r="D400" s="3" t="n">
        <v>22</v>
      </c>
      <c r="E400" s="3" t="n">
        <v>5</v>
      </c>
      <c r="F400" s="3" t="n">
        <v>1</v>
      </c>
      <c r="G400" s="3" t="n">
        <v>1</v>
      </c>
      <c r="H400" s="4">
        <f>IFERROR(D400/C400,0)</f>
        <v/>
      </c>
      <c r="I400" s="4">
        <f>IFERROR(E400/D400,0)</f>
        <v/>
      </c>
      <c r="J400" s="4">
        <f>IFERROR(F400/E400,0)</f>
        <v/>
      </c>
      <c r="K400" s="4">
        <f>IFERROR(G400/C400,0)</f>
        <v/>
      </c>
    </row>
    <row r="401">
      <c r="A401" s="5" t="inlineStr">
        <is>
          <t>2026-03-08</t>
        </is>
      </c>
      <c r="B401" s="5" t="inlineStr">
        <is>
          <t>Email</t>
        </is>
      </c>
      <c r="C401" s="6" t="n">
        <v>82</v>
      </c>
      <c r="D401" s="6" t="n">
        <v>9</v>
      </c>
      <c r="E401" s="6" t="n">
        <v>2</v>
      </c>
      <c r="F401" s="6" t="n">
        <v>0</v>
      </c>
      <c r="G401" s="6" t="n">
        <v>1</v>
      </c>
      <c r="H401" s="7">
        <f>IFERROR(D401/C401,0)</f>
        <v/>
      </c>
      <c r="I401" s="7">
        <f>IFERROR(E401/D401,0)</f>
        <v/>
      </c>
      <c r="J401" s="7">
        <f>IFERROR(F401/E401,0)</f>
        <v/>
      </c>
      <c r="K401" s="7">
        <f>IFERROR(G401/C401,0)</f>
        <v/>
      </c>
    </row>
    <row r="402">
      <c r="A402" s="2" t="inlineStr">
        <is>
          <t>2026-03-08</t>
        </is>
      </c>
      <c r="B402" s="2" t="inlineStr">
        <is>
          <t>Referral</t>
        </is>
      </c>
      <c r="C402" s="3" t="n">
        <v>10</v>
      </c>
      <c r="D402" s="3" t="n">
        <v>1</v>
      </c>
      <c r="E402" s="3" t="n">
        <v>0</v>
      </c>
      <c r="F402" s="3" t="n">
        <v>0</v>
      </c>
      <c r="G402" s="3" t="n">
        <v>0</v>
      </c>
      <c r="H402" s="4">
        <f>IFERROR(D402/C402,0)</f>
        <v/>
      </c>
      <c r="I402" s="4">
        <f>IFERROR(E402/D402,0)</f>
        <v/>
      </c>
      <c r="J402" s="4">
        <f>IFERROR(F402/E402,0)</f>
        <v/>
      </c>
      <c r="K402" s="4">
        <f>IFERROR(G402/C402,0)</f>
        <v/>
      </c>
    </row>
    <row r="403">
      <c r="A403" s="5" t="inlineStr">
        <is>
          <t>2026-03-08</t>
        </is>
      </c>
      <c r="B403" s="5" t="inlineStr">
        <is>
          <t>Direct</t>
        </is>
      </c>
      <c r="C403" s="6" t="n">
        <v>30</v>
      </c>
      <c r="D403" s="6" t="n">
        <v>2</v>
      </c>
      <c r="E403" s="6" t="n">
        <v>0</v>
      </c>
      <c r="F403" s="6" t="n">
        <v>0</v>
      </c>
      <c r="G403" s="6" t="n">
        <v>0</v>
      </c>
      <c r="H403" s="7">
        <f>IFERROR(D403/C403,0)</f>
        <v/>
      </c>
      <c r="I403" s="7">
        <f>IFERROR(E403/D403,0)</f>
        <v/>
      </c>
      <c r="J403" s="7">
        <f>IFERROR(F403/E403,0)</f>
        <v/>
      </c>
      <c r="K403" s="7">
        <f>IFERROR(G403/C403,0)</f>
        <v/>
      </c>
    </row>
    <row r="404">
      <c r="A404" s="2" t="inlineStr">
        <is>
          <t>2026-03-09</t>
        </is>
      </c>
      <c r="B404" s="2" t="inlineStr">
        <is>
          <t>Google Ads</t>
        </is>
      </c>
      <c r="C404" s="3" t="n">
        <v>183</v>
      </c>
      <c r="D404" s="3" t="n">
        <v>16</v>
      </c>
      <c r="E404" s="3" t="n">
        <v>4</v>
      </c>
      <c r="F404" s="3" t="n">
        <v>1</v>
      </c>
      <c r="G404" s="3" t="n">
        <v>1</v>
      </c>
      <c r="H404" s="4">
        <f>IFERROR(D404/C404,0)</f>
        <v/>
      </c>
      <c r="I404" s="4">
        <f>IFERROR(E404/D404,0)</f>
        <v/>
      </c>
      <c r="J404" s="4">
        <f>IFERROR(F404/E404,0)</f>
        <v/>
      </c>
      <c r="K404" s="4">
        <f>IFERROR(G404/C404,0)</f>
        <v/>
      </c>
    </row>
    <row r="405">
      <c r="A405" s="5" t="inlineStr">
        <is>
          <t>2026-03-09</t>
        </is>
      </c>
      <c r="B405" s="5" t="inlineStr">
        <is>
          <t>Facebook Ads</t>
        </is>
      </c>
      <c r="C405" s="6" t="n">
        <v>181</v>
      </c>
      <c r="D405" s="6" t="n">
        <v>8</v>
      </c>
      <c r="E405" s="6" t="n">
        <v>2</v>
      </c>
      <c r="F405" s="6" t="n">
        <v>0</v>
      </c>
      <c r="G405" s="6" t="n">
        <v>0</v>
      </c>
      <c r="H405" s="7">
        <f>IFERROR(D405/C405,0)</f>
        <v/>
      </c>
      <c r="I405" s="7">
        <f>IFERROR(E405/D405,0)</f>
        <v/>
      </c>
      <c r="J405" s="7">
        <f>IFERROR(F405/E405,0)</f>
        <v/>
      </c>
      <c r="K405" s="7">
        <f>IFERROR(G405/C405,0)</f>
        <v/>
      </c>
    </row>
    <row r="406">
      <c r="A406" s="2" t="inlineStr">
        <is>
          <t>2026-03-09</t>
        </is>
      </c>
      <c r="B406" s="2" t="inlineStr">
        <is>
          <t>Organic SEO</t>
        </is>
      </c>
      <c r="C406" s="3" t="n">
        <v>265</v>
      </c>
      <c r="D406" s="3" t="n">
        <v>19</v>
      </c>
      <c r="E406" s="3" t="n">
        <v>4</v>
      </c>
      <c r="F406" s="3" t="n">
        <v>1</v>
      </c>
      <c r="G406" s="3" t="n">
        <v>1</v>
      </c>
      <c r="H406" s="4">
        <f>IFERROR(D406/C406,0)</f>
        <v/>
      </c>
      <c r="I406" s="4">
        <f>IFERROR(E406/D406,0)</f>
        <v/>
      </c>
      <c r="J406" s="4">
        <f>IFERROR(F406/E406,0)</f>
        <v/>
      </c>
      <c r="K406" s="4">
        <f>IFERROR(G406/C406,0)</f>
        <v/>
      </c>
    </row>
    <row r="407">
      <c r="A407" s="5" t="inlineStr">
        <is>
          <t>2026-03-09</t>
        </is>
      </c>
      <c r="B407" s="5" t="inlineStr">
        <is>
          <t>Email</t>
        </is>
      </c>
      <c r="C407" s="6" t="n">
        <v>40</v>
      </c>
      <c r="D407" s="6" t="n">
        <v>4</v>
      </c>
      <c r="E407" s="6" t="n">
        <v>1</v>
      </c>
      <c r="F407" s="6" t="n">
        <v>0</v>
      </c>
      <c r="G407" s="6" t="n">
        <v>0</v>
      </c>
      <c r="H407" s="7">
        <f>IFERROR(D407/C407,0)</f>
        <v/>
      </c>
      <c r="I407" s="7">
        <f>IFERROR(E407/D407,0)</f>
        <v/>
      </c>
      <c r="J407" s="7">
        <f>IFERROR(F407/E407,0)</f>
        <v/>
      </c>
      <c r="K407" s="7">
        <f>IFERROR(G407/C407,0)</f>
        <v/>
      </c>
    </row>
    <row r="408">
      <c r="A408" s="2" t="inlineStr">
        <is>
          <t>2026-03-09</t>
        </is>
      </c>
      <c r="B408" s="2" t="inlineStr">
        <is>
          <t>Referral</t>
        </is>
      </c>
      <c r="C408" s="3" t="n">
        <v>28</v>
      </c>
      <c r="D408" s="3" t="n">
        <v>4</v>
      </c>
      <c r="E408" s="3" t="n">
        <v>0</v>
      </c>
      <c r="F408" s="3" t="n">
        <v>0</v>
      </c>
      <c r="G408" s="3" t="n">
        <v>0</v>
      </c>
      <c r="H408" s="4">
        <f>IFERROR(D408/C408,0)</f>
        <v/>
      </c>
      <c r="I408" s="4">
        <f>IFERROR(E408/D408,0)</f>
        <v/>
      </c>
      <c r="J408" s="4">
        <f>IFERROR(F408/E408,0)</f>
        <v/>
      </c>
      <c r="K408" s="4">
        <f>IFERROR(G408/C408,0)</f>
        <v/>
      </c>
    </row>
    <row r="409">
      <c r="A409" s="5" t="inlineStr">
        <is>
          <t>2026-03-09</t>
        </is>
      </c>
      <c r="B409" s="5" t="inlineStr">
        <is>
          <t>Direct</t>
        </is>
      </c>
      <c r="C409" s="6" t="n">
        <v>40</v>
      </c>
      <c r="D409" s="6" t="n">
        <v>2</v>
      </c>
      <c r="E409" s="6" t="n">
        <v>0</v>
      </c>
      <c r="F409" s="6" t="n">
        <v>0</v>
      </c>
      <c r="G409" s="6" t="n">
        <v>0</v>
      </c>
      <c r="H409" s="7">
        <f>IFERROR(D409/C409,0)</f>
        <v/>
      </c>
      <c r="I409" s="7">
        <f>IFERROR(E409/D409,0)</f>
        <v/>
      </c>
      <c r="J409" s="7">
        <f>IFERROR(F409/E409,0)</f>
        <v/>
      </c>
      <c r="K409" s="7">
        <f>IFERROR(G409/C409,0)</f>
        <v/>
      </c>
    </row>
    <row r="410">
      <c r="A410" s="2" t="inlineStr">
        <is>
          <t>2026-03-10</t>
        </is>
      </c>
      <c r="B410" s="2" t="inlineStr">
        <is>
          <t>Google Ads</t>
        </is>
      </c>
      <c r="C410" s="3" t="n">
        <v>204</v>
      </c>
      <c r="D410" s="3" t="n">
        <v>19</v>
      </c>
      <c r="E410" s="3" t="n">
        <v>5</v>
      </c>
      <c r="F410" s="3" t="n">
        <v>2</v>
      </c>
      <c r="G410" s="3" t="n">
        <v>1</v>
      </c>
      <c r="H410" s="4">
        <f>IFERROR(D410/C410,0)</f>
        <v/>
      </c>
      <c r="I410" s="4">
        <f>IFERROR(E410/D410,0)</f>
        <v/>
      </c>
      <c r="J410" s="4">
        <f>IFERROR(F410/E410,0)</f>
        <v/>
      </c>
      <c r="K410" s="4">
        <f>IFERROR(G410/C410,0)</f>
        <v/>
      </c>
    </row>
    <row r="411">
      <c r="A411" s="5" t="inlineStr">
        <is>
          <t>2026-03-10</t>
        </is>
      </c>
      <c r="B411" s="5" t="inlineStr">
        <is>
          <t>Facebook Ads</t>
        </is>
      </c>
      <c r="C411" s="6" t="n">
        <v>181</v>
      </c>
      <c r="D411" s="6" t="n">
        <v>8</v>
      </c>
      <c r="E411" s="6" t="n">
        <v>2</v>
      </c>
      <c r="F411" s="6" t="n">
        <v>0</v>
      </c>
      <c r="G411" s="6" t="n">
        <v>0</v>
      </c>
      <c r="H411" s="7">
        <f>IFERROR(D411/C411,0)</f>
        <v/>
      </c>
      <c r="I411" s="7">
        <f>IFERROR(E411/D411,0)</f>
        <v/>
      </c>
      <c r="J411" s="7">
        <f>IFERROR(F411/E411,0)</f>
        <v/>
      </c>
      <c r="K411" s="7">
        <f>IFERROR(G411/C411,0)</f>
        <v/>
      </c>
    </row>
    <row r="412">
      <c r="A412" s="2" t="inlineStr">
        <is>
          <t>2026-03-10</t>
        </is>
      </c>
      <c r="B412" s="2" t="inlineStr">
        <is>
          <t>Organic SEO</t>
        </is>
      </c>
      <c r="C412" s="3" t="n">
        <v>197</v>
      </c>
      <c r="D412" s="3" t="n">
        <v>17</v>
      </c>
      <c r="E412" s="3" t="n">
        <v>5</v>
      </c>
      <c r="F412" s="3" t="n">
        <v>1</v>
      </c>
      <c r="G412" s="3" t="n">
        <v>1</v>
      </c>
      <c r="H412" s="4">
        <f>IFERROR(D412/C412,0)</f>
        <v/>
      </c>
      <c r="I412" s="4">
        <f>IFERROR(E412/D412,0)</f>
        <v/>
      </c>
      <c r="J412" s="4">
        <f>IFERROR(F412/E412,0)</f>
        <v/>
      </c>
      <c r="K412" s="4">
        <f>IFERROR(G412/C412,0)</f>
        <v/>
      </c>
    </row>
    <row r="413">
      <c r="A413" s="5" t="inlineStr">
        <is>
          <t>2026-03-10</t>
        </is>
      </c>
      <c r="B413" s="5" t="inlineStr">
        <is>
          <t>Email</t>
        </is>
      </c>
      <c r="C413" s="6" t="n">
        <v>129</v>
      </c>
      <c r="D413" s="6" t="n">
        <v>16</v>
      </c>
      <c r="E413" s="6" t="n">
        <v>4</v>
      </c>
      <c r="F413" s="6" t="n">
        <v>1</v>
      </c>
      <c r="G413" s="6" t="n">
        <v>1</v>
      </c>
      <c r="H413" s="7">
        <f>IFERROR(D413/C413,0)</f>
        <v/>
      </c>
      <c r="I413" s="7">
        <f>IFERROR(E413/D413,0)</f>
        <v/>
      </c>
      <c r="J413" s="7">
        <f>IFERROR(F413/E413,0)</f>
        <v/>
      </c>
      <c r="K413" s="7">
        <f>IFERROR(G413/C413,0)</f>
        <v/>
      </c>
    </row>
    <row r="414">
      <c r="A414" s="2" t="inlineStr">
        <is>
          <t>2026-03-10</t>
        </is>
      </c>
      <c r="B414" s="2" t="inlineStr">
        <is>
          <t>Referral</t>
        </is>
      </c>
      <c r="C414" s="3" t="n">
        <v>17</v>
      </c>
      <c r="D414" s="3" t="n">
        <v>2</v>
      </c>
      <c r="E414" s="3" t="n">
        <v>0</v>
      </c>
      <c r="F414" s="3" t="n">
        <v>0</v>
      </c>
      <c r="G414" s="3" t="n">
        <v>0</v>
      </c>
      <c r="H414" s="4">
        <f>IFERROR(D414/C414,0)</f>
        <v/>
      </c>
      <c r="I414" s="4">
        <f>IFERROR(E414/D414,0)</f>
        <v/>
      </c>
      <c r="J414" s="4">
        <f>IFERROR(F414/E414,0)</f>
        <v/>
      </c>
      <c r="K414" s="4">
        <f>IFERROR(G414/C414,0)</f>
        <v/>
      </c>
    </row>
    <row r="415">
      <c r="A415" s="5" t="inlineStr">
        <is>
          <t>2026-03-10</t>
        </is>
      </c>
      <c r="B415" s="5" t="inlineStr">
        <is>
          <t>Direct</t>
        </is>
      </c>
      <c r="C415" s="6" t="n">
        <v>77</v>
      </c>
      <c r="D415" s="6" t="n">
        <v>5</v>
      </c>
      <c r="E415" s="6" t="n">
        <v>1</v>
      </c>
      <c r="F415" s="6" t="n">
        <v>0</v>
      </c>
      <c r="G415" s="6" t="n">
        <v>0</v>
      </c>
      <c r="H415" s="7">
        <f>IFERROR(D415/C415,0)</f>
        <v/>
      </c>
      <c r="I415" s="7">
        <f>IFERROR(E415/D415,0)</f>
        <v/>
      </c>
      <c r="J415" s="7">
        <f>IFERROR(F415/E415,0)</f>
        <v/>
      </c>
      <c r="K415" s="7">
        <f>IFERROR(G415/C415,0)</f>
        <v/>
      </c>
    </row>
    <row r="416">
      <c r="A416" s="2" t="inlineStr">
        <is>
          <t>2026-03-11</t>
        </is>
      </c>
      <c r="B416" s="2" t="inlineStr">
        <is>
          <t>Google Ads</t>
        </is>
      </c>
      <c r="C416" s="3" t="n">
        <v>147</v>
      </c>
      <c r="D416" s="3" t="n">
        <v>13</v>
      </c>
      <c r="E416" s="3" t="n">
        <v>3</v>
      </c>
      <c r="F416" s="3" t="n">
        <v>1</v>
      </c>
      <c r="G416" s="3" t="n">
        <v>0</v>
      </c>
      <c r="H416" s="4">
        <f>IFERROR(D416/C416,0)</f>
        <v/>
      </c>
      <c r="I416" s="4">
        <f>IFERROR(E416/D416,0)</f>
        <v/>
      </c>
      <c r="J416" s="4">
        <f>IFERROR(F416/E416,0)</f>
        <v/>
      </c>
      <c r="K416" s="4">
        <f>IFERROR(G416/C416,0)</f>
        <v/>
      </c>
    </row>
    <row r="417">
      <c r="A417" s="5" t="inlineStr">
        <is>
          <t>2026-03-11</t>
        </is>
      </c>
      <c r="B417" s="5" t="inlineStr">
        <is>
          <t>Facebook Ads</t>
        </is>
      </c>
      <c r="C417" s="6" t="n">
        <v>121</v>
      </c>
      <c r="D417" s="6" t="n">
        <v>3</v>
      </c>
      <c r="E417" s="6" t="n">
        <v>0</v>
      </c>
      <c r="F417" s="6" t="n">
        <v>0</v>
      </c>
      <c r="G417" s="6" t="n">
        <v>0</v>
      </c>
      <c r="H417" s="7">
        <f>IFERROR(D417/C417,0)</f>
        <v/>
      </c>
      <c r="I417" s="7">
        <f>IFERROR(E417/D417,0)</f>
        <v/>
      </c>
      <c r="J417" s="7">
        <f>IFERROR(F417/E417,0)</f>
        <v/>
      </c>
      <c r="K417" s="7">
        <f>IFERROR(G417/C417,0)</f>
        <v/>
      </c>
    </row>
    <row r="418">
      <c r="A418" s="2" t="inlineStr">
        <is>
          <t>2026-03-11</t>
        </is>
      </c>
      <c r="B418" s="2" t="inlineStr">
        <is>
          <t>Organic SEO</t>
        </is>
      </c>
      <c r="C418" s="3" t="n">
        <v>254</v>
      </c>
      <c r="D418" s="3" t="n">
        <v>22</v>
      </c>
      <c r="E418" s="3" t="n">
        <v>5</v>
      </c>
      <c r="F418" s="3" t="n">
        <v>1</v>
      </c>
      <c r="G418" s="3" t="n">
        <v>1</v>
      </c>
      <c r="H418" s="4">
        <f>IFERROR(D418/C418,0)</f>
        <v/>
      </c>
      <c r="I418" s="4">
        <f>IFERROR(E418/D418,0)</f>
        <v/>
      </c>
      <c r="J418" s="4">
        <f>IFERROR(F418/E418,0)</f>
        <v/>
      </c>
      <c r="K418" s="4">
        <f>IFERROR(G418/C418,0)</f>
        <v/>
      </c>
    </row>
    <row r="419">
      <c r="A419" s="5" t="inlineStr">
        <is>
          <t>2026-03-11</t>
        </is>
      </c>
      <c r="B419" s="5" t="inlineStr">
        <is>
          <t>Email</t>
        </is>
      </c>
      <c r="C419" s="6" t="n">
        <v>56</v>
      </c>
      <c r="D419" s="6" t="n">
        <v>7</v>
      </c>
      <c r="E419" s="6" t="n">
        <v>1</v>
      </c>
      <c r="F419" s="6" t="n">
        <v>0</v>
      </c>
      <c r="G419" s="6" t="n">
        <v>0</v>
      </c>
      <c r="H419" s="7">
        <f>IFERROR(D419/C419,0)</f>
        <v/>
      </c>
      <c r="I419" s="7">
        <f>IFERROR(E419/D419,0)</f>
        <v/>
      </c>
      <c r="J419" s="7">
        <f>IFERROR(F419/E419,0)</f>
        <v/>
      </c>
      <c r="K419" s="7">
        <f>IFERROR(G419/C419,0)</f>
        <v/>
      </c>
    </row>
    <row r="420">
      <c r="A420" s="2" t="inlineStr">
        <is>
          <t>2026-03-11</t>
        </is>
      </c>
      <c r="B420" s="2" t="inlineStr">
        <is>
          <t>Referral</t>
        </is>
      </c>
      <c r="C420" s="3" t="n">
        <v>29</v>
      </c>
      <c r="D420" s="3" t="n">
        <v>4</v>
      </c>
      <c r="E420" s="3" t="n">
        <v>1</v>
      </c>
      <c r="F420" s="3" t="n">
        <v>0</v>
      </c>
      <c r="G420" s="3" t="n">
        <v>0</v>
      </c>
      <c r="H420" s="4">
        <f>IFERROR(D420/C420,0)</f>
        <v/>
      </c>
      <c r="I420" s="4">
        <f>IFERROR(E420/D420,0)</f>
        <v/>
      </c>
      <c r="J420" s="4">
        <f>IFERROR(F420/E420,0)</f>
        <v/>
      </c>
      <c r="K420" s="4">
        <f>IFERROR(G420/C420,0)</f>
        <v/>
      </c>
    </row>
    <row r="421">
      <c r="A421" s="5" t="inlineStr">
        <is>
          <t>2026-03-11</t>
        </is>
      </c>
      <c r="B421" s="5" t="inlineStr">
        <is>
          <t>Direct</t>
        </is>
      </c>
      <c r="C421" s="6" t="n">
        <v>84</v>
      </c>
      <c r="D421" s="6" t="n">
        <v>4</v>
      </c>
      <c r="E421" s="6" t="n">
        <v>1</v>
      </c>
      <c r="F421" s="6" t="n">
        <v>0</v>
      </c>
      <c r="G421" s="6" t="n">
        <v>0</v>
      </c>
      <c r="H421" s="7">
        <f>IFERROR(D421/C421,0)</f>
        <v/>
      </c>
      <c r="I421" s="7">
        <f>IFERROR(E421/D421,0)</f>
        <v/>
      </c>
      <c r="J421" s="7">
        <f>IFERROR(F421/E421,0)</f>
        <v/>
      </c>
      <c r="K421" s="7">
        <f>IFERROR(G421/C421,0)</f>
        <v/>
      </c>
    </row>
    <row r="422">
      <c r="A422" s="2" t="inlineStr">
        <is>
          <t>2026-03-12</t>
        </is>
      </c>
      <c r="B422" s="2" t="inlineStr">
        <is>
          <t>Google Ads</t>
        </is>
      </c>
      <c r="C422" s="3" t="n">
        <v>147</v>
      </c>
      <c r="D422" s="3" t="n">
        <v>14</v>
      </c>
      <c r="E422" s="3" t="n">
        <v>4</v>
      </c>
      <c r="F422" s="3" t="n">
        <v>1</v>
      </c>
      <c r="G422" s="3" t="n">
        <v>0</v>
      </c>
      <c r="H422" s="4">
        <f>IFERROR(D422/C422,0)</f>
        <v/>
      </c>
      <c r="I422" s="4">
        <f>IFERROR(E422/D422,0)</f>
        <v/>
      </c>
      <c r="J422" s="4">
        <f>IFERROR(F422/E422,0)</f>
        <v/>
      </c>
      <c r="K422" s="4">
        <f>IFERROR(G422/C422,0)</f>
        <v/>
      </c>
    </row>
    <row r="423">
      <c r="A423" s="5" t="inlineStr">
        <is>
          <t>2026-03-12</t>
        </is>
      </c>
      <c r="B423" s="5" t="inlineStr">
        <is>
          <t>Facebook Ads</t>
        </is>
      </c>
      <c r="C423" s="6" t="n">
        <v>152</v>
      </c>
      <c r="D423" s="6" t="n">
        <v>3</v>
      </c>
      <c r="E423" s="6" t="n">
        <v>0</v>
      </c>
      <c r="F423" s="6" t="n">
        <v>0</v>
      </c>
      <c r="G423" s="6" t="n">
        <v>0</v>
      </c>
      <c r="H423" s="7">
        <f>IFERROR(D423/C423,0)</f>
        <v/>
      </c>
      <c r="I423" s="7">
        <f>IFERROR(E423/D423,0)</f>
        <v/>
      </c>
      <c r="J423" s="7">
        <f>IFERROR(F423/E423,0)</f>
        <v/>
      </c>
      <c r="K423" s="7">
        <f>IFERROR(G423/C423,0)</f>
        <v/>
      </c>
    </row>
    <row r="424">
      <c r="A424" s="2" t="inlineStr">
        <is>
          <t>2026-03-12</t>
        </is>
      </c>
      <c r="B424" s="2" t="inlineStr">
        <is>
          <t>Organic SEO</t>
        </is>
      </c>
      <c r="C424" s="3" t="n">
        <v>233</v>
      </c>
      <c r="D424" s="3" t="n">
        <v>19</v>
      </c>
      <c r="E424" s="3" t="n">
        <v>4</v>
      </c>
      <c r="F424" s="3" t="n">
        <v>1</v>
      </c>
      <c r="G424" s="3" t="n">
        <v>1</v>
      </c>
      <c r="H424" s="4">
        <f>IFERROR(D424/C424,0)</f>
        <v/>
      </c>
      <c r="I424" s="4">
        <f>IFERROR(E424/D424,0)</f>
        <v/>
      </c>
      <c r="J424" s="4">
        <f>IFERROR(F424/E424,0)</f>
        <v/>
      </c>
      <c r="K424" s="4">
        <f>IFERROR(G424/C424,0)</f>
        <v/>
      </c>
    </row>
    <row r="425">
      <c r="A425" s="5" t="inlineStr">
        <is>
          <t>2026-03-12</t>
        </is>
      </c>
      <c r="B425" s="5" t="inlineStr">
        <is>
          <t>Email</t>
        </is>
      </c>
      <c r="C425" s="6" t="n">
        <v>88</v>
      </c>
      <c r="D425" s="6" t="n">
        <v>10</v>
      </c>
      <c r="E425" s="6" t="n">
        <v>2</v>
      </c>
      <c r="F425" s="6" t="n">
        <v>0</v>
      </c>
      <c r="G425" s="6" t="n">
        <v>1</v>
      </c>
      <c r="H425" s="7">
        <f>IFERROR(D425/C425,0)</f>
        <v/>
      </c>
      <c r="I425" s="7">
        <f>IFERROR(E425/D425,0)</f>
        <v/>
      </c>
      <c r="J425" s="7">
        <f>IFERROR(F425/E425,0)</f>
        <v/>
      </c>
      <c r="K425" s="7">
        <f>IFERROR(G425/C425,0)</f>
        <v/>
      </c>
    </row>
    <row r="426">
      <c r="A426" s="2" t="inlineStr">
        <is>
          <t>2026-03-12</t>
        </is>
      </c>
      <c r="B426" s="2" t="inlineStr">
        <is>
          <t>Referral</t>
        </is>
      </c>
      <c r="C426" s="3" t="n">
        <v>73</v>
      </c>
      <c r="D426" s="3" t="n">
        <v>12</v>
      </c>
      <c r="E426" s="3" t="n">
        <v>3</v>
      </c>
      <c r="F426" s="3" t="n">
        <v>1</v>
      </c>
      <c r="G426" s="3" t="n">
        <v>1</v>
      </c>
      <c r="H426" s="4">
        <f>IFERROR(D426/C426,0)</f>
        <v/>
      </c>
      <c r="I426" s="4">
        <f>IFERROR(E426/D426,0)</f>
        <v/>
      </c>
      <c r="J426" s="4">
        <f>IFERROR(F426/E426,0)</f>
        <v/>
      </c>
      <c r="K426" s="4">
        <f>IFERROR(G426/C426,0)</f>
        <v/>
      </c>
    </row>
    <row r="427">
      <c r="A427" s="5" t="inlineStr">
        <is>
          <t>2026-03-12</t>
        </is>
      </c>
      <c r="B427" s="5" t="inlineStr">
        <is>
          <t>Direct</t>
        </is>
      </c>
      <c r="C427" s="6" t="n">
        <v>26</v>
      </c>
      <c r="D427" s="6" t="n">
        <v>2</v>
      </c>
      <c r="E427" s="6" t="n">
        <v>0</v>
      </c>
      <c r="F427" s="6" t="n">
        <v>0</v>
      </c>
      <c r="G427" s="6" t="n">
        <v>0</v>
      </c>
      <c r="H427" s="7">
        <f>IFERROR(D427/C427,0)</f>
        <v/>
      </c>
      <c r="I427" s="7">
        <f>IFERROR(E427/D427,0)</f>
        <v/>
      </c>
      <c r="J427" s="7">
        <f>IFERROR(F427/E427,0)</f>
        <v/>
      </c>
      <c r="K427" s="7">
        <f>IFERROR(G427/C427,0)</f>
        <v/>
      </c>
    </row>
    <row r="428">
      <c r="A428" s="2" t="inlineStr">
        <is>
          <t>2026-03-13</t>
        </is>
      </c>
      <c r="B428" s="2" t="inlineStr">
        <is>
          <t>Google Ads</t>
        </is>
      </c>
      <c r="C428" s="3" t="n">
        <v>178</v>
      </c>
      <c r="D428" s="3" t="n">
        <v>13</v>
      </c>
      <c r="E428" s="3" t="n">
        <v>3</v>
      </c>
      <c r="F428" s="3" t="n">
        <v>1</v>
      </c>
      <c r="G428" s="3" t="n">
        <v>0</v>
      </c>
      <c r="H428" s="4">
        <f>IFERROR(D428/C428,0)</f>
        <v/>
      </c>
      <c r="I428" s="4">
        <f>IFERROR(E428/D428,0)</f>
        <v/>
      </c>
      <c r="J428" s="4">
        <f>IFERROR(F428/E428,0)</f>
        <v/>
      </c>
      <c r="K428" s="4">
        <f>IFERROR(G428/C428,0)</f>
        <v/>
      </c>
    </row>
    <row r="429">
      <c r="A429" s="5" t="inlineStr">
        <is>
          <t>2026-03-13</t>
        </is>
      </c>
      <c r="B429" s="5" t="inlineStr">
        <is>
          <t>Facebook Ads</t>
        </is>
      </c>
      <c r="C429" s="6" t="n">
        <v>129</v>
      </c>
      <c r="D429" s="6" t="n">
        <v>3</v>
      </c>
      <c r="E429" s="6" t="n">
        <v>0</v>
      </c>
      <c r="F429" s="6" t="n">
        <v>0</v>
      </c>
      <c r="G429" s="6" t="n">
        <v>0</v>
      </c>
      <c r="H429" s="7">
        <f>IFERROR(D429/C429,0)</f>
        <v/>
      </c>
      <c r="I429" s="7">
        <f>IFERROR(E429/D429,0)</f>
        <v/>
      </c>
      <c r="J429" s="7">
        <f>IFERROR(F429/E429,0)</f>
        <v/>
      </c>
      <c r="K429" s="7">
        <f>IFERROR(G429/C429,0)</f>
        <v/>
      </c>
    </row>
    <row r="430">
      <c r="A430" s="2" t="inlineStr">
        <is>
          <t>2026-03-13</t>
        </is>
      </c>
      <c r="B430" s="2" t="inlineStr">
        <is>
          <t>Organic SEO</t>
        </is>
      </c>
      <c r="C430" s="3" t="n">
        <v>272</v>
      </c>
      <c r="D430" s="3" t="n">
        <v>27</v>
      </c>
      <c r="E430" s="3" t="n">
        <v>7</v>
      </c>
      <c r="F430" s="3" t="n">
        <v>2</v>
      </c>
      <c r="G430" s="3" t="n">
        <v>1</v>
      </c>
      <c r="H430" s="4">
        <f>IFERROR(D430/C430,0)</f>
        <v/>
      </c>
      <c r="I430" s="4">
        <f>IFERROR(E430/D430,0)</f>
        <v/>
      </c>
      <c r="J430" s="4">
        <f>IFERROR(F430/E430,0)</f>
        <v/>
      </c>
      <c r="K430" s="4">
        <f>IFERROR(G430/C430,0)</f>
        <v/>
      </c>
    </row>
    <row r="431">
      <c r="A431" s="5" t="inlineStr">
        <is>
          <t>2026-03-13</t>
        </is>
      </c>
      <c r="B431" s="5" t="inlineStr">
        <is>
          <t>Email</t>
        </is>
      </c>
      <c r="C431" s="6" t="n">
        <v>42</v>
      </c>
      <c r="D431" s="6" t="n">
        <v>4</v>
      </c>
      <c r="E431" s="6" t="n">
        <v>1</v>
      </c>
      <c r="F431" s="6" t="n">
        <v>0</v>
      </c>
      <c r="G431" s="6" t="n">
        <v>0</v>
      </c>
      <c r="H431" s="7">
        <f>IFERROR(D431/C431,0)</f>
        <v/>
      </c>
      <c r="I431" s="7">
        <f>IFERROR(E431/D431,0)</f>
        <v/>
      </c>
      <c r="J431" s="7">
        <f>IFERROR(F431/E431,0)</f>
        <v/>
      </c>
      <c r="K431" s="7">
        <f>IFERROR(G431/C431,0)</f>
        <v/>
      </c>
    </row>
    <row r="432">
      <c r="A432" s="2" t="inlineStr">
        <is>
          <t>2026-03-13</t>
        </is>
      </c>
      <c r="B432" s="2" t="inlineStr">
        <is>
          <t>Referral</t>
        </is>
      </c>
      <c r="C432" s="3" t="n">
        <v>76</v>
      </c>
      <c r="D432" s="3" t="n">
        <v>12</v>
      </c>
      <c r="E432" s="3" t="n">
        <v>3</v>
      </c>
      <c r="F432" s="3" t="n">
        <v>1</v>
      </c>
      <c r="G432" s="3" t="n">
        <v>1</v>
      </c>
      <c r="H432" s="4">
        <f>IFERROR(D432/C432,0)</f>
        <v/>
      </c>
      <c r="I432" s="4">
        <f>IFERROR(E432/D432,0)</f>
        <v/>
      </c>
      <c r="J432" s="4">
        <f>IFERROR(F432/E432,0)</f>
        <v/>
      </c>
      <c r="K432" s="4">
        <f>IFERROR(G432/C432,0)</f>
        <v/>
      </c>
    </row>
    <row r="433">
      <c r="A433" s="5" t="inlineStr">
        <is>
          <t>2026-03-13</t>
        </is>
      </c>
      <c r="B433" s="5" t="inlineStr">
        <is>
          <t>Direct</t>
        </is>
      </c>
      <c r="C433" s="6" t="n">
        <v>39</v>
      </c>
      <c r="D433" s="6" t="n">
        <v>2</v>
      </c>
      <c r="E433" s="6" t="n">
        <v>0</v>
      </c>
      <c r="F433" s="6" t="n">
        <v>0</v>
      </c>
      <c r="G433" s="6" t="n">
        <v>0</v>
      </c>
      <c r="H433" s="7">
        <f>IFERROR(D433/C433,0)</f>
        <v/>
      </c>
      <c r="I433" s="7">
        <f>IFERROR(E433/D433,0)</f>
        <v/>
      </c>
      <c r="J433" s="7">
        <f>IFERROR(F433/E433,0)</f>
        <v/>
      </c>
      <c r="K433" s="7">
        <f>IFERROR(G433/C433,0)</f>
        <v/>
      </c>
    </row>
    <row r="434">
      <c r="A434" s="2" t="inlineStr">
        <is>
          <t>2026-03-14</t>
        </is>
      </c>
      <c r="B434" s="2" t="inlineStr">
        <is>
          <t>Google Ads</t>
        </is>
      </c>
      <c r="C434" s="3" t="n">
        <v>177</v>
      </c>
      <c r="D434" s="3" t="n">
        <v>12</v>
      </c>
      <c r="E434" s="3" t="n">
        <v>3</v>
      </c>
      <c r="F434" s="3" t="n">
        <v>1</v>
      </c>
      <c r="G434" s="3" t="n">
        <v>0</v>
      </c>
      <c r="H434" s="4">
        <f>IFERROR(D434/C434,0)</f>
        <v/>
      </c>
      <c r="I434" s="4">
        <f>IFERROR(E434/D434,0)</f>
        <v/>
      </c>
      <c r="J434" s="4">
        <f>IFERROR(F434/E434,0)</f>
        <v/>
      </c>
      <c r="K434" s="4">
        <f>IFERROR(G434/C434,0)</f>
        <v/>
      </c>
    </row>
    <row r="435">
      <c r="A435" s="5" t="inlineStr">
        <is>
          <t>2026-03-14</t>
        </is>
      </c>
      <c r="B435" s="5" t="inlineStr">
        <is>
          <t>Facebook Ads</t>
        </is>
      </c>
      <c r="C435" s="6" t="n">
        <v>198</v>
      </c>
      <c r="D435" s="6" t="n">
        <v>7</v>
      </c>
      <c r="E435" s="6" t="n">
        <v>1</v>
      </c>
      <c r="F435" s="6" t="n">
        <v>0</v>
      </c>
      <c r="G435" s="6" t="n">
        <v>0</v>
      </c>
      <c r="H435" s="7">
        <f>IFERROR(D435/C435,0)</f>
        <v/>
      </c>
      <c r="I435" s="7">
        <f>IFERROR(E435/D435,0)</f>
        <v/>
      </c>
      <c r="J435" s="7">
        <f>IFERROR(F435/E435,0)</f>
        <v/>
      </c>
      <c r="K435" s="7">
        <f>IFERROR(G435/C435,0)</f>
        <v/>
      </c>
    </row>
    <row r="436">
      <c r="A436" s="2" t="inlineStr">
        <is>
          <t>2026-03-14</t>
        </is>
      </c>
      <c r="B436" s="2" t="inlineStr">
        <is>
          <t>Organic SEO</t>
        </is>
      </c>
      <c r="C436" s="3" t="n">
        <v>264</v>
      </c>
      <c r="D436" s="3" t="n">
        <v>23</v>
      </c>
      <c r="E436" s="3" t="n">
        <v>5</v>
      </c>
      <c r="F436" s="3" t="n">
        <v>2</v>
      </c>
      <c r="G436" s="3" t="n">
        <v>1</v>
      </c>
      <c r="H436" s="4">
        <f>IFERROR(D436/C436,0)</f>
        <v/>
      </c>
      <c r="I436" s="4">
        <f>IFERROR(E436/D436,0)</f>
        <v/>
      </c>
      <c r="J436" s="4">
        <f>IFERROR(F436/E436,0)</f>
        <v/>
      </c>
      <c r="K436" s="4">
        <f>IFERROR(G436/C436,0)</f>
        <v/>
      </c>
    </row>
    <row r="437">
      <c r="A437" s="5" t="inlineStr">
        <is>
          <t>2026-03-14</t>
        </is>
      </c>
      <c r="B437" s="5" t="inlineStr">
        <is>
          <t>Email</t>
        </is>
      </c>
      <c r="C437" s="6" t="n">
        <v>115</v>
      </c>
      <c r="D437" s="6" t="n">
        <v>16</v>
      </c>
      <c r="E437" s="6" t="n">
        <v>4</v>
      </c>
      <c r="F437" s="6" t="n">
        <v>1</v>
      </c>
      <c r="G437" s="6" t="n">
        <v>2</v>
      </c>
      <c r="H437" s="7">
        <f>IFERROR(D437/C437,0)</f>
        <v/>
      </c>
      <c r="I437" s="7">
        <f>IFERROR(E437/D437,0)</f>
        <v/>
      </c>
      <c r="J437" s="7">
        <f>IFERROR(F437/E437,0)</f>
        <v/>
      </c>
      <c r="K437" s="7">
        <f>IFERROR(G437/C437,0)</f>
        <v/>
      </c>
    </row>
    <row r="438">
      <c r="A438" s="2" t="inlineStr">
        <is>
          <t>2026-03-14</t>
        </is>
      </c>
      <c r="B438" s="2" t="inlineStr">
        <is>
          <t>Referral</t>
        </is>
      </c>
      <c r="C438" s="3" t="n">
        <v>53</v>
      </c>
      <c r="D438" s="3" t="n">
        <v>6</v>
      </c>
      <c r="E438" s="3" t="n">
        <v>1</v>
      </c>
      <c r="F438" s="3" t="n">
        <v>0</v>
      </c>
      <c r="G438" s="3" t="n">
        <v>0</v>
      </c>
      <c r="H438" s="4">
        <f>IFERROR(D438/C438,0)</f>
        <v/>
      </c>
      <c r="I438" s="4">
        <f>IFERROR(E438/D438,0)</f>
        <v/>
      </c>
      <c r="J438" s="4">
        <f>IFERROR(F438/E438,0)</f>
        <v/>
      </c>
      <c r="K438" s="4">
        <f>IFERROR(G438/C438,0)</f>
        <v/>
      </c>
    </row>
    <row r="439">
      <c r="A439" s="5" t="inlineStr">
        <is>
          <t>2026-03-14</t>
        </is>
      </c>
      <c r="B439" s="5" t="inlineStr">
        <is>
          <t>Direct</t>
        </is>
      </c>
      <c r="C439" s="6" t="n">
        <v>77</v>
      </c>
      <c r="D439" s="6" t="n">
        <v>4</v>
      </c>
      <c r="E439" s="6" t="n">
        <v>0</v>
      </c>
      <c r="F439" s="6" t="n">
        <v>0</v>
      </c>
      <c r="G439" s="6" t="n">
        <v>0</v>
      </c>
      <c r="H439" s="7">
        <f>IFERROR(D439/C439,0)</f>
        <v/>
      </c>
      <c r="I439" s="7">
        <f>IFERROR(E439/D439,0)</f>
        <v/>
      </c>
      <c r="J439" s="7">
        <f>IFERROR(F439/E439,0)</f>
        <v/>
      </c>
      <c r="K439" s="7">
        <f>IFERROR(G439/C439,0)</f>
        <v/>
      </c>
    </row>
    <row r="440">
      <c r="A440" s="2" t="inlineStr">
        <is>
          <t>2026-03-15</t>
        </is>
      </c>
      <c r="B440" s="2" t="inlineStr">
        <is>
          <t>Google Ads</t>
        </is>
      </c>
      <c r="C440" s="3" t="n">
        <v>236</v>
      </c>
      <c r="D440" s="3" t="n">
        <v>19</v>
      </c>
      <c r="E440" s="3" t="n">
        <v>4</v>
      </c>
      <c r="F440" s="3" t="n">
        <v>1</v>
      </c>
      <c r="G440" s="3" t="n">
        <v>0</v>
      </c>
      <c r="H440" s="4">
        <f>IFERROR(D440/C440,0)</f>
        <v/>
      </c>
      <c r="I440" s="4">
        <f>IFERROR(E440/D440,0)</f>
        <v/>
      </c>
      <c r="J440" s="4">
        <f>IFERROR(F440/E440,0)</f>
        <v/>
      </c>
      <c r="K440" s="4">
        <f>IFERROR(G440/C440,0)</f>
        <v/>
      </c>
    </row>
    <row r="441">
      <c r="A441" s="5" t="inlineStr">
        <is>
          <t>2026-03-15</t>
        </is>
      </c>
      <c r="B441" s="5" t="inlineStr">
        <is>
          <t>Facebook Ads</t>
        </is>
      </c>
      <c r="C441" s="6" t="n">
        <v>118</v>
      </c>
      <c r="D441" s="6" t="n">
        <v>5</v>
      </c>
      <c r="E441" s="6" t="n">
        <v>1</v>
      </c>
      <c r="F441" s="6" t="n">
        <v>0</v>
      </c>
      <c r="G441" s="6" t="n">
        <v>0</v>
      </c>
      <c r="H441" s="7">
        <f>IFERROR(D441/C441,0)</f>
        <v/>
      </c>
      <c r="I441" s="7">
        <f>IFERROR(E441/D441,0)</f>
        <v/>
      </c>
      <c r="J441" s="7">
        <f>IFERROR(F441/E441,0)</f>
        <v/>
      </c>
      <c r="K441" s="7">
        <f>IFERROR(G441/C441,0)</f>
        <v/>
      </c>
    </row>
    <row r="442">
      <c r="A442" s="2" t="inlineStr">
        <is>
          <t>2026-03-15</t>
        </is>
      </c>
      <c r="B442" s="2" t="inlineStr">
        <is>
          <t>Organic SEO</t>
        </is>
      </c>
      <c r="C442" s="3" t="n">
        <v>251</v>
      </c>
      <c r="D442" s="3" t="n">
        <v>22</v>
      </c>
      <c r="E442" s="3" t="n">
        <v>5</v>
      </c>
      <c r="F442" s="3" t="n">
        <v>1</v>
      </c>
      <c r="G442" s="3" t="n">
        <v>1</v>
      </c>
      <c r="H442" s="4">
        <f>IFERROR(D442/C442,0)</f>
        <v/>
      </c>
      <c r="I442" s="4">
        <f>IFERROR(E442/D442,0)</f>
        <v/>
      </c>
      <c r="J442" s="4">
        <f>IFERROR(F442/E442,0)</f>
        <v/>
      </c>
      <c r="K442" s="4">
        <f>IFERROR(G442/C442,0)</f>
        <v/>
      </c>
    </row>
    <row r="443">
      <c r="A443" s="5" t="inlineStr">
        <is>
          <t>2026-03-15</t>
        </is>
      </c>
      <c r="B443" s="5" t="inlineStr">
        <is>
          <t>Email</t>
        </is>
      </c>
      <c r="C443" s="6" t="n">
        <v>50</v>
      </c>
      <c r="D443" s="6" t="n">
        <v>7</v>
      </c>
      <c r="E443" s="6" t="n">
        <v>1</v>
      </c>
      <c r="F443" s="6" t="n">
        <v>0</v>
      </c>
      <c r="G443" s="6" t="n">
        <v>0</v>
      </c>
      <c r="H443" s="7">
        <f>IFERROR(D443/C443,0)</f>
        <v/>
      </c>
      <c r="I443" s="7">
        <f>IFERROR(E443/D443,0)</f>
        <v/>
      </c>
      <c r="J443" s="7">
        <f>IFERROR(F443/E443,0)</f>
        <v/>
      </c>
      <c r="K443" s="7">
        <f>IFERROR(G443/C443,0)</f>
        <v/>
      </c>
    </row>
    <row r="444">
      <c r="A444" s="2" t="inlineStr">
        <is>
          <t>2026-03-15</t>
        </is>
      </c>
      <c r="B444" s="2" t="inlineStr">
        <is>
          <t>Referral</t>
        </is>
      </c>
      <c r="C444" s="3" t="n">
        <v>14</v>
      </c>
      <c r="D444" s="3" t="n">
        <v>1</v>
      </c>
      <c r="E444" s="3" t="n">
        <v>0</v>
      </c>
      <c r="F444" s="3" t="n">
        <v>0</v>
      </c>
      <c r="G444" s="3" t="n">
        <v>0</v>
      </c>
      <c r="H444" s="4">
        <f>IFERROR(D444/C444,0)</f>
        <v/>
      </c>
      <c r="I444" s="4">
        <f>IFERROR(E444/D444,0)</f>
        <v/>
      </c>
      <c r="J444" s="4">
        <f>IFERROR(F444/E444,0)</f>
        <v/>
      </c>
      <c r="K444" s="4">
        <f>IFERROR(G444/C444,0)</f>
        <v/>
      </c>
    </row>
    <row r="445">
      <c r="A445" s="5" t="inlineStr">
        <is>
          <t>2026-03-15</t>
        </is>
      </c>
      <c r="B445" s="5" t="inlineStr">
        <is>
          <t>Direct</t>
        </is>
      </c>
      <c r="C445" s="6" t="n">
        <v>19</v>
      </c>
      <c r="D445" s="6" t="n">
        <v>1</v>
      </c>
      <c r="E445" s="6" t="n">
        <v>0</v>
      </c>
      <c r="F445" s="6" t="n">
        <v>0</v>
      </c>
      <c r="G445" s="6" t="n">
        <v>0</v>
      </c>
      <c r="H445" s="7">
        <f>IFERROR(D445/C445,0)</f>
        <v/>
      </c>
      <c r="I445" s="7">
        <f>IFERROR(E445/D445,0)</f>
        <v/>
      </c>
      <c r="J445" s="7">
        <f>IFERROR(F445/E445,0)</f>
        <v/>
      </c>
      <c r="K445" s="7">
        <f>IFERROR(G445/C445,0)</f>
        <v/>
      </c>
    </row>
    <row r="446">
      <c r="A446" s="2" t="inlineStr">
        <is>
          <t>2026-03-16</t>
        </is>
      </c>
      <c r="B446" s="2" t="inlineStr">
        <is>
          <t>Google Ads</t>
        </is>
      </c>
      <c r="C446" s="3" t="n">
        <v>201</v>
      </c>
      <c r="D446" s="3" t="n">
        <v>13</v>
      </c>
      <c r="E446" s="3" t="n">
        <v>3</v>
      </c>
      <c r="F446" s="3" t="n">
        <v>1</v>
      </c>
      <c r="G446" s="3" t="n">
        <v>0</v>
      </c>
      <c r="H446" s="4">
        <f>IFERROR(D446/C446,0)</f>
        <v/>
      </c>
      <c r="I446" s="4">
        <f>IFERROR(E446/D446,0)</f>
        <v/>
      </c>
      <c r="J446" s="4">
        <f>IFERROR(F446/E446,0)</f>
        <v/>
      </c>
      <c r="K446" s="4">
        <f>IFERROR(G446/C446,0)</f>
        <v/>
      </c>
    </row>
    <row r="447">
      <c r="A447" s="5" t="inlineStr">
        <is>
          <t>2026-03-16</t>
        </is>
      </c>
      <c r="B447" s="5" t="inlineStr">
        <is>
          <t>Facebook Ads</t>
        </is>
      </c>
      <c r="C447" s="6" t="n">
        <v>127</v>
      </c>
      <c r="D447" s="6" t="n">
        <v>6</v>
      </c>
      <c r="E447" s="6" t="n">
        <v>1</v>
      </c>
      <c r="F447" s="6" t="n">
        <v>0</v>
      </c>
      <c r="G447" s="6" t="n">
        <v>0</v>
      </c>
      <c r="H447" s="7">
        <f>IFERROR(D447/C447,0)</f>
        <v/>
      </c>
      <c r="I447" s="7">
        <f>IFERROR(E447/D447,0)</f>
        <v/>
      </c>
      <c r="J447" s="7">
        <f>IFERROR(F447/E447,0)</f>
        <v/>
      </c>
      <c r="K447" s="7">
        <f>IFERROR(G447/C447,0)</f>
        <v/>
      </c>
    </row>
    <row r="448">
      <c r="A448" s="2" t="inlineStr">
        <is>
          <t>2026-03-16</t>
        </is>
      </c>
      <c r="B448" s="2" t="inlineStr">
        <is>
          <t>Organic SEO</t>
        </is>
      </c>
      <c r="C448" s="3" t="n">
        <v>241</v>
      </c>
      <c r="D448" s="3" t="n">
        <v>25</v>
      </c>
      <c r="E448" s="3" t="n">
        <v>6</v>
      </c>
      <c r="F448" s="3" t="n">
        <v>2</v>
      </c>
      <c r="G448" s="3" t="n">
        <v>1</v>
      </c>
      <c r="H448" s="4">
        <f>IFERROR(D448/C448,0)</f>
        <v/>
      </c>
      <c r="I448" s="4">
        <f>IFERROR(E448/D448,0)</f>
        <v/>
      </c>
      <c r="J448" s="4">
        <f>IFERROR(F448/E448,0)</f>
        <v/>
      </c>
      <c r="K448" s="4">
        <f>IFERROR(G448/C448,0)</f>
        <v/>
      </c>
    </row>
    <row r="449">
      <c r="A449" s="5" t="inlineStr">
        <is>
          <t>2026-03-16</t>
        </is>
      </c>
      <c r="B449" s="5" t="inlineStr">
        <is>
          <t>Email</t>
        </is>
      </c>
      <c r="C449" s="6" t="n">
        <v>70</v>
      </c>
      <c r="D449" s="6" t="n">
        <v>8</v>
      </c>
      <c r="E449" s="6" t="n">
        <v>2</v>
      </c>
      <c r="F449" s="6" t="n">
        <v>0</v>
      </c>
      <c r="G449" s="6" t="n">
        <v>1</v>
      </c>
      <c r="H449" s="7">
        <f>IFERROR(D449/C449,0)</f>
        <v/>
      </c>
      <c r="I449" s="7">
        <f>IFERROR(E449/D449,0)</f>
        <v/>
      </c>
      <c r="J449" s="7">
        <f>IFERROR(F449/E449,0)</f>
        <v/>
      </c>
      <c r="K449" s="7">
        <f>IFERROR(G449/C449,0)</f>
        <v/>
      </c>
    </row>
    <row r="450">
      <c r="A450" s="2" t="inlineStr">
        <is>
          <t>2026-03-16</t>
        </is>
      </c>
      <c r="B450" s="2" t="inlineStr">
        <is>
          <t>Referral</t>
        </is>
      </c>
      <c r="C450" s="3" t="n">
        <v>35</v>
      </c>
      <c r="D450" s="3" t="n">
        <v>4</v>
      </c>
      <c r="E450" s="3" t="n">
        <v>1</v>
      </c>
      <c r="F450" s="3" t="n">
        <v>0</v>
      </c>
      <c r="G450" s="3" t="n">
        <v>0</v>
      </c>
      <c r="H450" s="4">
        <f>IFERROR(D450/C450,0)</f>
        <v/>
      </c>
      <c r="I450" s="4">
        <f>IFERROR(E450/D450,0)</f>
        <v/>
      </c>
      <c r="J450" s="4">
        <f>IFERROR(F450/E450,0)</f>
        <v/>
      </c>
      <c r="K450" s="4">
        <f>IFERROR(G450/C450,0)</f>
        <v/>
      </c>
    </row>
    <row r="451">
      <c r="A451" s="5" t="inlineStr">
        <is>
          <t>2026-03-16</t>
        </is>
      </c>
      <c r="B451" s="5" t="inlineStr">
        <is>
          <t>Direct</t>
        </is>
      </c>
      <c r="C451" s="6" t="n">
        <v>102</v>
      </c>
      <c r="D451" s="6" t="n">
        <v>7</v>
      </c>
      <c r="E451" s="6" t="n">
        <v>2</v>
      </c>
      <c r="F451" s="6" t="n">
        <v>0</v>
      </c>
      <c r="G451" s="6" t="n">
        <v>0</v>
      </c>
      <c r="H451" s="7">
        <f>IFERROR(D451/C451,0)</f>
        <v/>
      </c>
      <c r="I451" s="7">
        <f>IFERROR(E451/D451,0)</f>
        <v/>
      </c>
      <c r="J451" s="7">
        <f>IFERROR(F451/E451,0)</f>
        <v/>
      </c>
      <c r="K451" s="7">
        <f>IFERROR(G451/C451,0)</f>
        <v/>
      </c>
    </row>
    <row r="452">
      <c r="A452" s="2" t="inlineStr">
        <is>
          <t>2026-03-17</t>
        </is>
      </c>
      <c r="B452" s="2" t="inlineStr">
        <is>
          <t>Google Ads</t>
        </is>
      </c>
      <c r="C452" s="3" t="n">
        <v>192</v>
      </c>
      <c r="D452" s="3" t="n">
        <v>11</v>
      </c>
      <c r="E452" s="3" t="n">
        <v>3</v>
      </c>
      <c r="F452" s="3" t="n">
        <v>1</v>
      </c>
      <c r="G452" s="3" t="n">
        <v>0</v>
      </c>
      <c r="H452" s="4">
        <f>IFERROR(D452/C452,0)</f>
        <v/>
      </c>
      <c r="I452" s="4">
        <f>IFERROR(E452/D452,0)</f>
        <v/>
      </c>
      <c r="J452" s="4">
        <f>IFERROR(F452/E452,0)</f>
        <v/>
      </c>
      <c r="K452" s="4">
        <f>IFERROR(G452/C452,0)</f>
        <v/>
      </c>
    </row>
    <row r="453">
      <c r="A453" s="5" t="inlineStr">
        <is>
          <t>2026-03-17</t>
        </is>
      </c>
      <c r="B453" s="5" t="inlineStr">
        <is>
          <t>Facebook Ads</t>
        </is>
      </c>
      <c r="C453" s="6" t="n">
        <v>170</v>
      </c>
      <c r="D453" s="6" t="n">
        <v>8</v>
      </c>
      <c r="E453" s="6" t="n">
        <v>2</v>
      </c>
      <c r="F453" s="6" t="n">
        <v>0</v>
      </c>
      <c r="G453" s="6" t="n">
        <v>0</v>
      </c>
      <c r="H453" s="7">
        <f>IFERROR(D453/C453,0)</f>
        <v/>
      </c>
      <c r="I453" s="7">
        <f>IFERROR(E453/D453,0)</f>
        <v/>
      </c>
      <c r="J453" s="7">
        <f>IFERROR(F453/E453,0)</f>
        <v/>
      </c>
      <c r="K453" s="7">
        <f>IFERROR(G453/C453,0)</f>
        <v/>
      </c>
    </row>
    <row r="454">
      <c r="A454" s="2" t="inlineStr">
        <is>
          <t>2026-03-17</t>
        </is>
      </c>
      <c r="B454" s="2" t="inlineStr">
        <is>
          <t>Organic SEO</t>
        </is>
      </c>
      <c r="C454" s="3" t="n">
        <v>222</v>
      </c>
      <c r="D454" s="3" t="n">
        <v>17</v>
      </c>
      <c r="E454" s="3" t="n">
        <v>4</v>
      </c>
      <c r="F454" s="3" t="n">
        <v>1</v>
      </c>
      <c r="G454" s="3" t="n">
        <v>1</v>
      </c>
      <c r="H454" s="4">
        <f>IFERROR(D454/C454,0)</f>
        <v/>
      </c>
      <c r="I454" s="4">
        <f>IFERROR(E454/D454,0)</f>
        <v/>
      </c>
      <c r="J454" s="4">
        <f>IFERROR(F454/E454,0)</f>
        <v/>
      </c>
      <c r="K454" s="4">
        <f>IFERROR(G454/C454,0)</f>
        <v/>
      </c>
    </row>
    <row r="455">
      <c r="A455" s="5" t="inlineStr">
        <is>
          <t>2026-03-17</t>
        </is>
      </c>
      <c r="B455" s="5" t="inlineStr">
        <is>
          <t>Email</t>
        </is>
      </c>
      <c r="C455" s="6" t="n">
        <v>127</v>
      </c>
      <c r="D455" s="6" t="n">
        <v>14</v>
      </c>
      <c r="E455" s="6" t="n">
        <v>3</v>
      </c>
      <c r="F455" s="6" t="n">
        <v>1</v>
      </c>
      <c r="G455" s="6" t="n">
        <v>1</v>
      </c>
      <c r="H455" s="7">
        <f>IFERROR(D455/C455,0)</f>
        <v/>
      </c>
      <c r="I455" s="7">
        <f>IFERROR(E455/D455,0)</f>
        <v/>
      </c>
      <c r="J455" s="7">
        <f>IFERROR(F455/E455,0)</f>
        <v/>
      </c>
      <c r="K455" s="7">
        <f>IFERROR(G455/C455,0)</f>
        <v/>
      </c>
    </row>
    <row r="456">
      <c r="A456" s="2" t="inlineStr">
        <is>
          <t>2026-03-17</t>
        </is>
      </c>
      <c r="B456" s="2" t="inlineStr">
        <is>
          <t>Referral</t>
        </is>
      </c>
      <c r="C456" s="3" t="n">
        <v>84</v>
      </c>
      <c r="D456" s="3" t="n">
        <v>12</v>
      </c>
      <c r="E456" s="3" t="n">
        <v>3</v>
      </c>
      <c r="F456" s="3" t="n">
        <v>1</v>
      </c>
      <c r="G456" s="3" t="n">
        <v>1</v>
      </c>
      <c r="H456" s="4">
        <f>IFERROR(D456/C456,0)</f>
        <v/>
      </c>
      <c r="I456" s="4">
        <f>IFERROR(E456/D456,0)</f>
        <v/>
      </c>
      <c r="J456" s="4">
        <f>IFERROR(F456/E456,0)</f>
        <v/>
      </c>
      <c r="K456" s="4">
        <f>IFERROR(G456/C456,0)</f>
        <v/>
      </c>
    </row>
    <row r="457">
      <c r="A457" s="5" t="inlineStr">
        <is>
          <t>2026-03-17</t>
        </is>
      </c>
      <c r="B457" s="5" t="inlineStr">
        <is>
          <t>Direct</t>
        </is>
      </c>
      <c r="C457" s="6" t="n">
        <v>102</v>
      </c>
      <c r="D457" s="6" t="n">
        <v>7</v>
      </c>
      <c r="E457" s="6" t="n">
        <v>2</v>
      </c>
      <c r="F457" s="6" t="n">
        <v>0</v>
      </c>
      <c r="G457" s="6" t="n">
        <v>0</v>
      </c>
      <c r="H457" s="7">
        <f>IFERROR(D457/C457,0)</f>
        <v/>
      </c>
      <c r="I457" s="7">
        <f>IFERROR(E457/D457,0)</f>
        <v/>
      </c>
      <c r="J457" s="7">
        <f>IFERROR(F457/E457,0)</f>
        <v/>
      </c>
      <c r="K457" s="7">
        <f>IFERROR(G457/C457,0)</f>
        <v/>
      </c>
    </row>
    <row r="458">
      <c r="A458" s="2" t="inlineStr">
        <is>
          <t>2026-03-18</t>
        </is>
      </c>
      <c r="B458" s="2" t="inlineStr">
        <is>
          <t>Google Ads</t>
        </is>
      </c>
      <c r="C458" s="3" t="n">
        <v>147</v>
      </c>
      <c r="D458" s="3" t="n">
        <v>11</v>
      </c>
      <c r="E458" s="3" t="n">
        <v>2</v>
      </c>
      <c r="F458" s="3" t="n">
        <v>0</v>
      </c>
      <c r="G458" s="3" t="n">
        <v>0</v>
      </c>
      <c r="H458" s="4">
        <f>IFERROR(D458/C458,0)</f>
        <v/>
      </c>
      <c r="I458" s="4">
        <f>IFERROR(E458/D458,0)</f>
        <v/>
      </c>
      <c r="J458" s="4">
        <f>IFERROR(F458/E458,0)</f>
        <v/>
      </c>
      <c r="K458" s="4">
        <f>IFERROR(G458/C458,0)</f>
        <v/>
      </c>
    </row>
    <row r="459">
      <c r="A459" s="5" t="inlineStr">
        <is>
          <t>2026-03-18</t>
        </is>
      </c>
      <c r="B459" s="5" t="inlineStr">
        <is>
          <t>Facebook Ads</t>
        </is>
      </c>
      <c r="C459" s="6" t="n">
        <v>106</v>
      </c>
      <c r="D459" s="6" t="n">
        <v>4</v>
      </c>
      <c r="E459" s="6" t="n">
        <v>1</v>
      </c>
      <c r="F459" s="6" t="n">
        <v>0</v>
      </c>
      <c r="G459" s="6" t="n">
        <v>0</v>
      </c>
      <c r="H459" s="7">
        <f>IFERROR(D459/C459,0)</f>
        <v/>
      </c>
      <c r="I459" s="7">
        <f>IFERROR(E459/D459,0)</f>
        <v/>
      </c>
      <c r="J459" s="7">
        <f>IFERROR(F459/E459,0)</f>
        <v/>
      </c>
      <c r="K459" s="7">
        <f>IFERROR(G459/C459,0)</f>
        <v/>
      </c>
    </row>
    <row r="460">
      <c r="A460" s="2" t="inlineStr">
        <is>
          <t>2026-03-18</t>
        </is>
      </c>
      <c r="B460" s="2" t="inlineStr">
        <is>
          <t>Organic SEO</t>
        </is>
      </c>
      <c r="C460" s="3" t="n">
        <v>270</v>
      </c>
      <c r="D460" s="3" t="n">
        <v>20</v>
      </c>
      <c r="E460" s="3" t="n">
        <v>5</v>
      </c>
      <c r="F460" s="3" t="n">
        <v>1</v>
      </c>
      <c r="G460" s="3" t="n">
        <v>1</v>
      </c>
      <c r="H460" s="4">
        <f>IFERROR(D460/C460,0)</f>
        <v/>
      </c>
      <c r="I460" s="4">
        <f>IFERROR(E460/D460,0)</f>
        <v/>
      </c>
      <c r="J460" s="4">
        <f>IFERROR(F460/E460,0)</f>
        <v/>
      </c>
      <c r="K460" s="4">
        <f>IFERROR(G460/C460,0)</f>
        <v/>
      </c>
    </row>
    <row r="461">
      <c r="A461" s="5" t="inlineStr">
        <is>
          <t>2026-03-18</t>
        </is>
      </c>
      <c r="B461" s="5" t="inlineStr">
        <is>
          <t>Email</t>
        </is>
      </c>
      <c r="C461" s="6" t="n">
        <v>121</v>
      </c>
      <c r="D461" s="6" t="n">
        <v>16</v>
      </c>
      <c r="E461" s="6" t="n">
        <v>4</v>
      </c>
      <c r="F461" s="6" t="n">
        <v>1</v>
      </c>
      <c r="G461" s="6" t="n">
        <v>1</v>
      </c>
      <c r="H461" s="7">
        <f>IFERROR(D461/C461,0)</f>
        <v/>
      </c>
      <c r="I461" s="7">
        <f>IFERROR(E461/D461,0)</f>
        <v/>
      </c>
      <c r="J461" s="7">
        <f>IFERROR(F461/E461,0)</f>
        <v/>
      </c>
      <c r="K461" s="7">
        <f>IFERROR(G461/C461,0)</f>
        <v/>
      </c>
    </row>
    <row r="462">
      <c r="A462" s="2" t="inlineStr">
        <is>
          <t>2026-03-18</t>
        </is>
      </c>
      <c r="B462" s="2" t="inlineStr">
        <is>
          <t>Referral</t>
        </is>
      </c>
      <c r="C462" s="3" t="n">
        <v>10</v>
      </c>
      <c r="D462" s="3" t="n">
        <v>1</v>
      </c>
      <c r="E462" s="3" t="n">
        <v>0</v>
      </c>
      <c r="F462" s="3" t="n">
        <v>0</v>
      </c>
      <c r="G462" s="3" t="n">
        <v>0</v>
      </c>
      <c r="H462" s="4">
        <f>IFERROR(D462/C462,0)</f>
        <v/>
      </c>
      <c r="I462" s="4">
        <f>IFERROR(E462/D462,0)</f>
        <v/>
      </c>
      <c r="J462" s="4">
        <f>IFERROR(F462/E462,0)</f>
        <v/>
      </c>
      <c r="K462" s="4">
        <f>IFERROR(G462/C462,0)</f>
        <v/>
      </c>
    </row>
    <row r="463">
      <c r="A463" s="5" t="inlineStr">
        <is>
          <t>2026-03-18</t>
        </is>
      </c>
      <c r="B463" s="5" t="inlineStr">
        <is>
          <t>Direct</t>
        </is>
      </c>
      <c r="C463" s="6" t="n">
        <v>78</v>
      </c>
      <c r="D463" s="6" t="n">
        <v>6</v>
      </c>
      <c r="E463" s="6" t="n">
        <v>1</v>
      </c>
      <c r="F463" s="6" t="n">
        <v>0</v>
      </c>
      <c r="G463" s="6" t="n">
        <v>0</v>
      </c>
      <c r="H463" s="7">
        <f>IFERROR(D463/C463,0)</f>
        <v/>
      </c>
      <c r="I463" s="7">
        <f>IFERROR(E463/D463,0)</f>
        <v/>
      </c>
      <c r="J463" s="7">
        <f>IFERROR(F463/E463,0)</f>
        <v/>
      </c>
      <c r="K463" s="7">
        <f>IFERROR(G463/C463,0)</f>
        <v/>
      </c>
    </row>
    <row r="464">
      <c r="A464" s="2" t="inlineStr">
        <is>
          <t>2026-03-19</t>
        </is>
      </c>
      <c r="B464" s="2" t="inlineStr">
        <is>
          <t>Google Ads</t>
        </is>
      </c>
      <c r="C464" s="3" t="n">
        <v>162</v>
      </c>
      <c r="D464" s="3" t="n">
        <v>10</v>
      </c>
      <c r="E464" s="3" t="n">
        <v>2</v>
      </c>
      <c r="F464" s="3" t="n">
        <v>0</v>
      </c>
      <c r="G464" s="3" t="n">
        <v>0</v>
      </c>
      <c r="H464" s="4">
        <f>IFERROR(D464/C464,0)</f>
        <v/>
      </c>
      <c r="I464" s="4">
        <f>IFERROR(E464/D464,0)</f>
        <v/>
      </c>
      <c r="J464" s="4">
        <f>IFERROR(F464/E464,0)</f>
        <v/>
      </c>
      <c r="K464" s="4">
        <f>IFERROR(G464/C464,0)</f>
        <v/>
      </c>
    </row>
    <row r="465">
      <c r="A465" s="5" t="inlineStr">
        <is>
          <t>2026-03-19</t>
        </is>
      </c>
      <c r="B465" s="5" t="inlineStr">
        <is>
          <t>Facebook Ads</t>
        </is>
      </c>
      <c r="C465" s="6" t="n">
        <v>167</v>
      </c>
      <c r="D465" s="6" t="n">
        <v>4</v>
      </c>
      <c r="E465" s="6" t="n">
        <v>1</v>
      </c>
      <c r="F465" s="6" t="n">
        <v>0</v>
      </c>
      <c r="G465" s="6" t="n">
        <v>0</v>
      </c>
      <c r="H465" s="7">
        <f>IFERROR(D465/C465,0)</f>
        <v/>
      </c>
      <c r="I465" s="7">
        <f>IFERROR(E465/D465,0)</f>
        <v/>
      </c>
      <c r="J465" s="7">
        <f>IFERROR(F465/E465,0)</f>
        <v/>
      </c>
      <c r="K465" s="7">
        <f>IFERROR(G465/C465,0)</f>
        <v/>
      </c>
    </row>
    <row r="466">
      <c r="A466" s="2" t="inlineStr">
        <is>
          <t>2026-03-19</t>
        </is>
      </c>
      <c r="B466" s="2" t="inlineStr">
        <is>
          <t>Organic SEO</t>
        </is>
      </c>
      <c r="C466" s="3" t="n">
        <v>231</v>
      </c>
      <c r="D466" s="3" t="n">
        <v>20</v>
      </c>
      <c r="E466" s="3" t="n">
        <v>5</v>
      </c>
      <c r="F466" s="3" t="n">
        <v>1</v>
      </c>
      <c r="G466" s="3" t="n">
        <v>1</v>
      </c>
      <c r="H466" s="4">
        <f>IFERROR(D466/C466,0)</f>
        <v/>
      </c>
      <c r="I466" s="4">
        <f>IFERROR(E466/D466,0)</f>
        <v/>
      </c>
      <c r="J466" s="4">
        <f>IFERROR(F466/E466,0)</f>
        <v/>
      </c>
      <c r="K466" s="4">
        <f>IFERROR(G466/C466,0)</f>
        <v/>
      </c>
    </row>
    <row r="467">
      <c r="A467" s="5" t="inlineStr">
        <is>
          <t>2026-03-19</t>
        </is>
      </c>
      <c r="B467" s="5" t="inlineStr">
        <is>
          <t>Email</t>
        </is>
      </c>
      <c r="C467" s="6" t="n">
        <v>50</v>
      </c>
      <c r="D467" s="6" t="n">
        <v>6</v>
      </c>
      <c r="E467" s="6" t="n">
        <v>1</v>
      </c>
      <c r="F467" s="6" t="n">
        <v>0</v>
      </c>
      <c r="G467" s="6" t="n">
        <v>0</v>
      </c>
      <c r="H467" s="7">
        <f>IFERROR(D467/C467,0)</f>
        <v/>
      </c>
      <c r="I467" s="7">
        <f>IFERROR(E467/D467,0)</f>
        <v/>
      </c>
      <c r="J467" s="7">
        <f>IFERROR(F467/E467,0)</f>
        <v/>
      </c>
      <c r="K467" s="7">
        <f>IFERROR(G467/C467,0)</f>
        <v/>
      </c>
    </row>
    <row r="468">
      <c r="A468" s="2" t="inlineStr">
        <is>
          <t>2026-03-19</t>
        </is>
      </c>
      <c r="B468" s="2" t="inlineStr">
        <is>
          <t>Referral</t>
        </is>
      </c>
      <c r="C468" s="3" t="n">
        <v>38</v>
      </c>
      <c r="D468" s="3" t="n">
        <v>5</v>
      </c>
      <c r="E468" s="3" t="n">
        <v>1</v>
      </c>
      <c r="F468" s="3" t="n">
        <v>0</v>
      </c>
      <c r="G468" s="3" t="n">
        <v>0</v>
      </c>
      <c r="H468" s="4">
        <f>IFERROR(D468/C468,0)</f>
        <v/>
      </c>
      <c r="I468" s="4">
        <f>IFERROR(E468/D468,0)</f>
        <v/>
      </c>
      <c r="J468" s="4">
        <f>IFERROR(F468/E468,0)</f>
        <v/>
      </c>
      <c r="K468" s="4">
        <f>IFERROR(G468/C468,0)</f>
        <v/>
      </c>
    </row>
    <row r="469">
      <c r="A469" s="5" t="inlineStr">
        <is>
          <t>2026-03-19</t>
        </is>
      </c>
      <c r="B469" s="5" t="inlineStr">
        <is>
          <t>Direct</t>
        </is>
      </c>
      <c r="C469" s="6" t="n">
        <v>20</v>
      </c>
      <c r="D469" s="6" t="n">
        <v>1</v>
      </c>
      <c r="E469" s="6" t="n">
        <v>0</v>
      </c>
      <c r="F469" s="6" t="n">
        <v>0</v>
      </c>
      <c r="G469" s="6" t="n">
        <v>0</v>
      </c>
      <c r="H469" s="7">
        <f>IFERROR(D469/C469,0)</f>
        <v/>
      </c>
      <c r="I469" s="7">
        <f>IFERROR(E469/D469,0)</f>
        <v/>
      </c>
      <c r="J469" s="7">
        <f>IFERROR(F469/E469,0)</f>
        <v/>
      </c>
      <c r="K469" s="7">
        <f>IFERROR(G469/C469,0)</f>
        <v/>
      </c>
    </row>
    <row r="470">
      <c r="A470" s="2" t="inlineStr">
        <is>
          <t>2026-03-20</t>
        </is>
      </c>
      <c r="B470" s="2" t="inlineStr">
        <is>
          <t>Google Ads</t>
        </is>
      </c>
      <c r="C470" s="3" t="n">
        <v>152</v>
      </c>
      <c r="D470" s="3" t="n">
        <v>14</v>
      </c>
      <c r="E470" s="3" t="n">
        <v>3</v>
      </c>
      <c r="F470" s="3" t="n">
        <v>1</v>
      </c>
      <c r="G470" s="3" t="n">
        <v>1</v>
      </c>
      <c r="H470" s="4">
        <f>IFERROR(D470/C470,0)</f>
        <v/>
      </c>
      <c r="I470" s="4">
        <f>IFERROR(E470/D470,0)</f>
        <v/>
      </c>
      <c r="J470" s="4">
        <f>IFERROR(F470/E470,0)</f>
        <v/>
      </c>
      <c r="K470" s="4">
        <f>IFERROR(G470/C470,0)</f>
        <v/>
      </c>
    </row>
    <row r="471">
      <c r="A471" s="5" t="inlineStr">
        <is>
          <t>2026-03-20</t>
        </is>
      </c>
      <c r="B471" s="5" t="inlineStr">
        <is>
          <t>Facebook Ads</t>
        </is>
      </c>
      <c r="C471" s="6" t="n">
        <v>188</v>
      </c>
      <c r="D471" s="6" t="n">
        <v>8</v>
      </c>
      <c r="E471" s="6" t="n">
        <v>1</v>
      </c>
      <c r="F471" s="6" t="n">
        <v>0</v>
      </c>
      <c r="G471" s="6" t="n">
        <v>0</v>
      </c>
      <c r="H471" s="7">
        <f>IFERROR(D471/C471,0)</f>
        <v/>
      </c>
      <c r="I471" s="7">
        <f>IFERROR(E471/D471,0)</f>
        <v/>
      </c>
      <c r="J471" s="7">
        <f>IFERROR(F471/E471,0)</f>
        <v/>
      </c>
      <c r="K471" s="7">
        <f>IFERROR(G471/C471,0)</f>
        <v/>
      </c>
    </row>
    <row r="472">
      <c r="A472" s="2" t="inlineStr">
        <is>
          <t>2026-03-20</t>
        </is>
      </c>
      <c r="B472" s="2" t="inlineStr">
        <is>
          <t>Organic SEO</t>
        </is>
      </c>
      <c r="C472" s="3" t="n">
        <v>215</v>
      </c>
      <c r="D472" s="3" t="n">
        <v>22</v>
      </c>
      <c r="E472" s="3" t="n">
        <v>4</v>
      </c>
      <c r="F472" s="3" t="n">
        <v>1</v>
      </c>
      <c r="G472" s="3" t="n">
        <v>1</v>
      </c>
      <c r="H472" s="4">
        <f>IFERROR(D472/C472,0)</f>
        <v/>
      </c>
      <c r="I472" s="4">
        <f>IFERROR(E472/D472,0)</f>
        <v/>
      </c>
      <c r="J472" s="4">
        <f>IFERROR(F472/E472,0)</f>
        <v/>
      </c>
      <c r="K472" s="4">
        <f>IFERROR(G472/C472,0)</f>
        <v/>
      </c>
    </row>
    <row r="473">
      <c r="A473" s="5" t="inlineStr">
        <is>
          <t>2026-03-20</t>
        </is>
      </c>
      <c r="B473" s="5" t="inlineStr">
        <is>
          <t>Email</t>
        </is>
      </c>
      <c r="C473" s="6" t="n">
        <v>80</v>
      </c>
      <c r="D473" s="6" t="n">
        <v>8</v>
      </c>
      <c r="E473" s="6" t="n">
        <v>1</v>
      </c>
      <c r="F473" s="6" t="n">
        <v>0</v>
      </c>
      <c r="G473" s="6" t="n">
        <v>0</v>
      </c>
      <c r="H473" s="7">
        <f>IFERROR(D473/C473,0)</f>
        <v/>
      </c>
      <c r="I473" s="7">
        <f>IFERROR(E473/D473,0)</f>
        <v/>
      </c>
      <c r="J473" s="7">
        <f>IFERROR(F473/E473,0)</f>
        <v/>
      </c>
      <c r="K473" s="7">
        <f>IFERROR(G473/C473,0)</f>
        <v/>
      </c>
    </row>
    <row r="474">
      <c r="A474" s="2" t="inlineStr">
        <is>
          <t>2026-03-20</t>
        </is>
      </c>
      <c r="B474" s="2" t="inlineStr">
        <is>
          <t>Referral</t>
        </is>
      </c>
      <c r="C474" s="3" t="n">
        <v>40</v>
      </c>
      <c r="D474" s="3" t="n">
        <v>7</v>
      </c>
      <c r="E474" s="3" t="n">
        <v>1</v>
      </c>
      <c r="F474" s="3" t="n">
        <v>0</v>
      </c>
      <c r="G474" s="3" t="n">
        <v>0</v>
      </c>
      <c r="H474" s="4">
        <f>IFERROR(D474/C474,0)</f>
        <v/>
      </c>
      <c r="I474" s="4">
        <f>IFERROR(E474/D474,0)</f>
        <v/>
      </c>
      <c r="J474" s="4">
        <f>IFERROR(F474/E474,0)</f>
        <v/>
      </c>
      <c r="K474" s="4">
        <f>IFERROR(G474/C474,0)</f>
        <v/>
      </c>
    </row>
    <row r="475">
      <c r="A475" s="5" t="inlineStr">
        <is>
          <t>2026-03-20</t>
        </is>
      </c>
      <c r="B475" s="5" t="inlineStr">
        <is>
          <t>Direct</t>
        </is>
      </c>
      <c r="C475" s="6" t="n">
        <v>59</v>
      </c>
      <c r="D475" s="6" t="n">
        <v>4</v>
      </c>
      <c r="E475" s="6" t="n">
        <v>1</v>
      </c>
      <c r="F475" s="6" t="n">
        <v>0</v>
      </c>
      <c r="G475" s="6" t="n">
        <v>0</v>
      </c>
      <c r="H475" s="7">
        <f>IFERROR(D475/C475,0)</f>
        <v/>
      </c>
      <c r="I475" s="7">
        <f>IFERROR(E475/D475,0)</f>
        <v/>
      </c>
      <c r="J475" s="7">
        <f>IFERROR(F475/E475,0)</f>
        <v/>
      </c>
      <c r="K475" s="7">
        <f>IFERROR(G475/C475,0)</f>
        <v/>
      </c>
    </row>
    <row r="476">
      <c r="A476" s="2" t="inlineStr">
        <is>
          <t>2026-03-21</t>
        </is>
      </c>
      <c r="B476" s="2" t="inlineStr">
        <is>
          <t>Google Ads</t>
        </is>
      </c>
      <c r="C476" s="3" t="n">
        <v>228</v>
      </c>
      <c r="D476" s="3" t="n">
        <v>20</v>
      </c>
      <c r="E476" s="3" t="n">
        <v>5</v>
      </c>
      <c r="F476" s="3" t="n">
        <v>1</v>
      </c>
      <c r="G476" s="3" t="n">
        <v>1</v>
      </c>
      <c r="H476" s="4">
        <f>IFERROR(D476/C476,0)</f>
        <v/>
      </c>
      <c r="I476" s="4">
        <f>IFERROR(E476/D476,0)</f>
        <v/>
      </c>
      <c r="J476" s="4">
        <f>IFERROR(F476/E476,0)</f>
        <v/>
      </c>
      <c r="K476" s="4">
        <f>IFERROR(G476/C476,0)</f>
        <v/>
      </c>
    </row>
    <row r="477">
      <c r="A477" s="5" t="inlineStr">
        <is>
          <t>2026-03-21</t>
        </is>
      </c>
      <c r="B477" s="5" t="inlineStr">
        <is>
          <t>Facebook Ads</t>
        </is>
      </c>
      <c r="C477" s="6" t="n">
        <v>155</v>
      </c>
      <c r="D477" s="6" t="n">
        <v>4</v>
      </c>
      <c r="E477" s="6" t="n">
        <v>1</v>
      </c>
      <c r="F477" s="6" t="n">
        <v>0</v>
      </c>
      <c r="G477" s="6" t="n">
        <v>0</v>
      </c>
      <c r="H477" s="7">
        <f>IFERROR(D477/C477,0)</f>
        <v/>
      </c>
      <c r="I477" s="7">
        <f>IFERROR(E477/D477,0)</f>
        <v/>
      </c>
      <c r="J477" s="7">
        <f>IFERROR(F477/E477,0)</f>
        <v/>
      </c>
      <c r="K477" s="7">
        <f>IFERROR(G477/C477,0)</f>
        <v/>
      </c>
    </row>
    <row r="478">
      <c r="A478" s="2" t="inlineStr">
        <is>
          <t>2026-03-21</t>
        </is>
      </c>
      <c r="B478" s="2" t="inlineStr">
        <is>
          <t>Organic SEO</t>
        </is>
      </c>
      <c r="C478" s="3" t="n">
        <v>256</v>
      </c>
      <c r="D478" s="3" t="n">
        <v>21</v>
      </c>
      <c r="E478" s="3" t="n">
        <v>4</v>
      </c>
      <c r="F478" s="3" t="n">
        <v>1</v>
      </c>
      <c r="G478" s="3" t="n">
        <v>1</v>
      </c>
      <c r="H478" s="4">
        <f>IFERROR(D478/C478,0)</f>
        <v/>
      </c>
      <c r="I478" s="4">
        <f>IFERROR(E478/D478,0)</f>
        <v/>
      </c>
      <c r="J478" s="4">
        <f>IFERROR(F478/E478,0)</f>
        <v/>
      </c>
      <c r="K478" s="4">
        <f>IFERROR(G478/C478,0)</f>
        <v/>
      </c>
    </row>
    <row r="479">
      <c r="A479" s="5" t="inlineStr">
        <is>
          <t>2026-03-21</t>
        </is>
      </c>
      <c r="B479" s="5" t="inlineStr">
        <is>
          <t>Email</t>
        </is>
      </c>
      <c r="C479" s="6" t="n">
        <v>97</v>
      </c>
      <c r="D479" s="6" t="n">
        <v>12</v>
      </c>
      <c r="E479" s="6" t="n">
        <v>3</v>
      </c>
      <c r="F479" s="6" t="n">
        <v>1</v>
      </c>
      <c r="G479" s="6" t="n">
        <v>1</v>
      </c>
      <c r="H479" s="7">
        <f>IFERROR(D479/C479,0)</f>
        <v/>
      </c>
      <c r="I479" s="7">
        <f>IFERROR(E479/D479,0)</f>
        <v/>
      </c>
      <c r="J479" s="7">
        <f>IFERROR(F479/E479,0)</f>
        <v/>
      </c>
      <c r="K479" s="7">
        <f>IFERROR(G479/C479,0)</f>
        <v/>
      </c>
    </row>
    <row r="480">
      <c r="A480" s="2" t="inlineStr">
        <is>
          <t>2026-03-21</t>
        </is>
      </c>
      <c r="B480" s="2" t="inlineStr">
        <is>
          <t>Referral</t>
        </is>
      </c>
      <c r="C480" s="3" t="n">
        <v>77</v>
      </c>
      <c r="D480" s="3" t="n">
        <v>11</v>
      </c>
      <c r="E480" s="3" t="n">
        <v>3</v>
      </c>
      <c r="F480" s="3" t="n">
        <v>1</v>
      </c>
      <c r="G480" s="3" t="n">
        <v>1</v>
      </c>
      <c r="H480" s="4">
        <f>IFERROR(D480/C480,0)</f>
        <v/>
      </c>
      <c r="I480" s="4">
        <f>IFERROR(E480/D480,0)</f>
        <v/>
      </c>
      <c r="J480" s="4">
        <f>IFERROR(F480/E480,0)</f>
        <v/>
      </c>
      <c r="K480" s="4">
        <f>IFERROR(G480/C480,0)</f>
        <v/>
      </c>
    </row>
    <row r="481">
      <c r="A481" s="5" t="inlineStr">
        <is>
          <t>2026-03-21</t>
        </is>
      </c>
      <c r="B481" s="5" t="inlineStr">
        <is>
          <t>Direct</t>
        </is>
      </c>
      <c r="C481" s="6" t="n">
        <v>41</v>
      </c>
      <c r="D481" s="6" t="n">
        <v>3</v>
      </c>
      <c r="E481" s="6" t="n">
        <v>0</v>
      </c>
      <c r="F481" s="6" t="n">
        <v>0</v>
      </c>
      <c r="G481" s="6" t="n">
        <v>0</v>
      </c>
      <c r="H481" s="7">
        <f>IFERROR(D481/C481,0)</f>
        <v/>
      </c>
      <c r="I481" s="7">
        <f>IFERROR(E481/D481,0)</f>
        <v/>
      </c>
      <c r="J481" s="7">
        <f>IFERROR(F481/E481,0)</f>
        <v/>
      </c>
      <c r="K481" s="7">
        <f>IFERROR(G481/C481,0)</f>
        <v/>
      </c>
    </row>
    <row r="482">
      <c r="A482" s="2" t="inlineStr">
        <is>
          <t>2026-03-22</t>
        </is>
      </c>
      <c r="B482" s="2" t="inlineStr">
        <is>
          <t>Google Ads</t>
        </is>
      </c>
      <c r="C482" s="3" t="n">
        <v>221</v>
      </c>
      <c r="D482" s="3" t="n">
        <v>14</v>
      </c>
      <c r="E482" s="3" t="n">
        <v>3</v>
      </c>
      <c r="F482" s="3" t="n">
        <v>1</v>
      </c>
      <c r="G482" s="3" t="n">
        <v>0</v>
      </c>
      <c r="H482" s="4">
        <f>IFERROR(D482/C482,0)</f>
        <v/>
      </c>
      <c r="I482" s="4">
        <f>IFERROR(E482/D482,0)</f>
        <v/>
      </c>
      <c r="J482" s="4">
        <f>IFERROR(F482/E482,0)</f>
        <v/>
      </c>
      <c r="K482" s="4">
        <f>IFERROR(G482/C482,0)</f>
        <v/>
      </c>
    </row>
    <row r="483">
      <c r="A483" s="5" t="inlineStr">
        <is>
          <t>2026-03-22</t>
        </is>
      </c>
      <c r="B483" s="5" t="inlineStr">
        <is>
          <t>Facebook Ads</t>
        </is>
      </c>
      <c r="C483" s="6" t="n">
        <v>139</v>
      </c>
      <c r="D483" s="6" t="n">
        <v>4</v>
      </c>
      <c r="E483" s="6" t="n">
        <v>0</v>
      </c>
      <c r="F483" s="6" t="n">
        <v>0</v>
      </c>
      <c r="G483" s="6" t="n">
        <v>0</v>
      </c>
      <c r="H483" s="7">
        <f>IFERROR(D483/C483,0)</f>
        <v/>
      </c>
      <c r="I483" s="7">
        <f>IFERROR(E483/D483,0)</f>
        <v/>
      </c>
      <c r="J483" s="7">
        <f>IFERROR(F483/E483,0)</f>
        <v/>
      </c>
      <c r="K483" s="7">
        <f>IFERROR(G483/C483,0)</f>
        <v/>
      </c>
    </row>
    <row r="484">
      <c r="A484" s="2" t="inlineStr">
        <is>
          <t>2026-03-22</t>
        </is>
      </c>
      <c r="B484" s="2" t="inlineStr">
        <is>
          <t>Organic SEO</t>
        </is>
      </c>
      <c r="C484" s="3" t="n">
        <v>235</v>
      </c>
      <c r="D484" s="3" t="n">
        <v>20</v>
      </c>
      <c r="E484" s="3" t="n">
        <v>5</v>
      </c>
      <c r="F484" s="3" t="n">
        <v>1</v>
      </c>
      <c r="G484" s="3" t="n">
        <v>1</v>
      </c>
      <c r="H484" s="4">
        <f>IFERROR(D484/C484,0)</f>
        <v/>
      </c>
      <c r="I484" s="4">
        <f>IFERROR(E484/D484,0)</f>
        <v/>
      </c>
      <c r="J484" s="4">
        <f>IFERROR(F484/E484,0)</f>
        <v/>
      </c>
      <c r="K484" s="4">
        <f>IFERROR(G484/C484,0)</f>
        <v/>
      </c>
    </row>
    <row r="485">
      <c r="A485" s="5" t="inlineStr">
        <is>
          <t>2026-03-22</t>
        </is>
      </c>
      <c r="B485" s="5" t="inlineStr">
        <is>
          <t>Email</t>
        </is>
      </c>
      <c r="C485" s="6" t="n">
        <v>85</v>
      </c>
      <c r="D485" s="6" t="n">
        <v>10</v>
      </c>
      <c r="E485" s="6" t="n">
        <v>2</v>
      </c>
      <c r="F485" s="6" t="n">
        <v>0</v>
      </c>
      <c r="G485" s="6" t="n">
        <v>1</v>
      </c>
      <c r="H485" s="7">
        <f>IFERROR(D485/C485,0)</f>
        <v/>
      </c>
      <c r="I485" s="7">
        <f>IFERROR(E485/D485,0)</f>
        <v/>
      </c>
      <c r="J485" s="7">
        <f>IFERROR(F485/E485,0)</f>
        <v/>
      </c>
      <c r="K485" s="7">
        <f>IFERROR(G485/C485,0)</f>
        <v/>
      </c>
    </row>
    <row r="486">
      <c r="A486" s="2" t="inlineStr">
        <is>
          <t>2026-03-22</t>
        </is>
      </c>
      <c r="B486" s="2" t="inlineStr">
        <is>
          <t>Referral</t>
        </is>
      </c>
      <c r="C486" s="3" t="n">
        <v>10</v>
      </c>
      <c r="D486" s="3" t="n">
        <v>1</v>
      </c>
      <c r="E486" s="3" t="n">
        <v>0</v>
      </c>
      <c r="F486" s="3" t="n">
        <v>0</v>
      </c>
      <c r="G486" s="3" t="n">
        <v>0</v>
      </c>
      <c r="H486" s="4">
        <f>IFERROR(D486/C486,0)</f>
        <v/>
      </c>
      <c r="I486" s="4">
        <f>IFERROR(E486/D486,0)</f>
        <v/>
      </c>
      <c r="J486" s="4">
        <f>IFERROR(F486/E486,0)</f>
        <v/>
      </c>
      <c r="K486" s="4">
        <f>IFERROR(G486/C486,0)</f>
        <v/>
      </c>
    </row>
    <row r="487">
      <c r="A487" s="5" t="inlineStr">
        <is>
          <t>2026-03-22</t>
        </is>
      </c>
      <c r="B487" s="5" t="inlineStr">
        <is>
          <t>Direct</t>
        </is>
      </c>
      <c r="C487" s="6" t="n">
        <v>41</v>
      </c>
      <c r="D487" s="6" t="n">
        <v>2</v>
      </c>
      <c r="E487" s="6" t="n">
        <v>0</v>
      </c>
      <c r="F487" s="6" t="n">
        <v>0</v>
      </c>
      <c r="G487" s="6" t="n">
        <v>0</v>
      </c>
      <c r="H487" s="7">
        <f>IFERROR(D487/C487,0)</f>
        <v/>
      </c>
      <c r="I487" s="7">
        <f>IFERROR(E487/D487,0)</f>
        <v/>
      </c>
      <c r="J487" s="7">
        <f>IFERROR(F487/E487,0)</f>
        <v/>
      </c>
      <c r="K487" s="7">
        <f>IFERROR(G487/C487,0)</f>
        <v/>
      </c>
    </row>
    <row r="488">
      <c r="A488" s="2" t="inlineStr">
        <is>
          <t>2026-03-23</t>
        </is>
      </c>
      <c r="B488" s="2" t="inlineStr">
        <is>
          <t>Google Ads</t>
        </is>
      </c>
      <c r="C488" s="3" t="n">
        <v>178</v>
      </c>
      <c r="D488" s="3" t="n">
        <v>12</v>
      </c>
      <c r="E488" s="3" t="n">
        <v>2</v>
      </c>
      <c r="F488" s="3" t="n">
        <v>0</v>
      </c>
      <c r="G488" s="3" t="n">
        <v>0</v>
      </c>
      <c r="H488" s="4">
        <f>IFERROR(D488/C488,0)</f>
        <v/>
      </c>
      <c r="I488" s="4">
        <f>IFERROR(E488/D488,0)</f>
        <v/>
      </c>
      <c r="J488" s="4">
        <f>IFERROR(F488/E488,0)</f>
        <v/>
      </c>
      <c r="K488" s="4">
        <f>IFERROR(G488/C488,0)</f>
        <v/>
      </c>
    </row>
    <row r="489">
      <c r="A489" s="5" t="inlineStr">
        <is>
          <t>2026-03-23</t>
        </is>
      </c>
      <c r="B489" s="5" t="inlineStr">
        <is>
          <t>Facebook Ads</t>
        </is>
      </c>
      <c r="C489" s="6" t="n">
        <v>138</v>
      </c>
      <c r="D489" s="6" t="n">
        <v>4</v>
      </c>
      <c r="E489" s="6" t="n">
        <v>0</v>
      </c>
      <c r="F489" s="6" t="n">
        <v>0</v>
      </c>
      <c r="G489" s="6" t="n">
        <v>0</v>
      </c>
      <c r="H489" s="7">
        <f>IFERROR(D489/C489,0)</f>
        <v/>
      </c>
      <c r="I489" s="7">
        <f>IFERROR(E489/D489,0)</f>
        <v/>
      </c>
      <c r="J489" s="7">
        <f>IFERROR(F489/E489,0)</f>
        <v/>
      </c>
      <c r="K489" s="7">
        <f>IFERROR(G489/C489,0)</f>
        <v/>
      </c>
    </row>
    <row r="490">
      <c r="A490" s="2" t="inlineStr">
        <is>
          <t>2026-03-23</t>
        </is>
      </c>
      <c r="B490" s="2" t="inlineStr">
        <is>
          <t>Organic SEO</t>
        </is>
      </c>
      <c r="C490" s="3" t="n">
        <v>260</v>
      </c>
      <c r="D490" s="3" t="n">
        <v>23</v>
      </c>
      <c r="E490" s="3" t="n">
        <v>5</v>
      </c>
      <c r="F490" s="3" t="n">
        <v>1</v>
      </c>
      <c r="G490" s="3" t="n">
        <v>1</v>
      </c>
      <c r="H490" s="4">
        <f>IFERROR(D490/C490,0)</f>
        <v/>
      </c>
      <c r="I490" s="4">
        <f>IFERROR(E490/D490,0)</f>
        <v/>
      </c>
      <c r="J490" s="4">
        <f>IFERROR(F490/E490,0)</f>
        <v/>
      </c>
      <c r="K490" s="4">
        <f>IFERROR(G490/C490,0)</f>
        <v/>
      </c>
    </row>
    <row r="491">
      <c r="A491" s="5" t="inlineStr">
        <is>
          <t>2026-03-23</t>
        </is>
      </c>
      <c r="B491" s="5" t="inlineStr">
        <is>
          <t>Email</t>
        </is>
      </c>
      <c r="C491" s="6" t="n">
        <v>40</v>
      </c>
      <c r="D491" s="6" t="n">
        <v>5</v>
      </c>
      <c r="E491" s="6" t="n">
        <v>1</v>
      </c>
      <c r="F491" s="6" t="n">
        <v>0</v>
      </c>
      <c r="G491" s="6" t="n">
        <v>0</v>
      </c>
      <c r="H491" s="7">
        <f>IFERROR(D491/C491,0)</f>
        <v/>
      </c>
      <c r="I491" s="7">
        <f>IFERROR(E491/D491,0)</f>
        <v/>
      </c>
      <c r="J491" s="7">
        <f>IFERROR(F491/E491,0)</f>
        <v/>
      </c>
      <c r="K491" s="7">
        <f>IFERROR(G491/C491,0)</f>
        <v/>
      </c>
    </row>
    <row r="492">
      <c r="A492" s="2" t="inlineStr">
        <is>
          <t>2026-03-23</t>
        </is>
      </c>
      <c r="B492" s="2" t="inlineStr">
        <is>
          <t>Referral</t>
        </is>
      </c>
      <c r="C492" s="3" t="n">
        <v>32</v>
      </c>
      <c r="D492" s="3" t="n">
        <v>4</v>
      </c>
      <c r="E492" s="3" t="n">
        <v>1</v>
      </c>
      <c r="F492" s="3" t="n">
        <v>0</v>
      </c>
      <c r="G492" s="3" t="n">
        <v>0</v>
      </c>
      <c r="H492" s="4">
        <f>IFERROR(D492/C492,0)</f>
        <v/>
      </c>
      <c r="I492" s="4">
        <f>IFERROR(E492/D492,0)</f>
        <v/>
      </c>
      <c r="J492" s="4">
        <f>IFERROR(F492/E492,0)</f>
        <v/>
      </c>
      <c r="K492" s="4">
        <f>IFERROR(G492/C492,0)</f>
        <v/>
      </c>
    </row>
    <row r="493">
      <c r="A493" s="5" t="inlineStr">
        <is>
          <t>2026-03-23</t>
        </is>
      </c>
      <c r="B493" s="5" t="inlineStr">
        <is>
          <t>Direct</t>
        </is>
      </c>
      <c r="C493" s="6" t="n">
        <v>86</v>
      </c>
      <c r="D493" s="6" t="n">
        <v>4</v>
      </c>
      <c r="E493" s="6" t="n">
        <v>1</v>
      </c>
      <c r="F493" s="6" t="n">
        <v>0</v>
      </c>
      <c r="G493" s="6" t="n">
        <v>0</v>
      </c>
      <c r="H493" s="7">
        <f>IFERROR(D493/C493,0)</f>
        <v/>
      </c>
      <c r="I493" s="7">
        <f>IFERROR(E493/D493,0)</f>
        <v/>
      </c>
      <c r="J493" s="7">
        <f>IFERROR(F493/E493,0)</f>
        <v/>
      </c>
      <c r="K493" s="7">
        <f>IFERROR(G493/C493,0)</f>
        <v/>
      </c>
    </row>
    <row r="494">
      <c r="A494" s="2" t="inlineStr">
        <is>
          <t>2026-03-24</t>
        </is>
      </c>
      <c r="B494" s="2" t="inlineStr">
        <is>
          <t>Google Ads</t>
        </is>
      </c>
      <c r="C494" s="3" t="n">
        <v>180</v>
      </c>
      <c r="D494" s="3" t="n">
        <v>12</v>
      </c>
      <c r="E494" s="3" t="n">
        <v>2</v>
      </c>
      <c r="F494" s="3" t="n">
        <v>0</v>
      </c>
      <c r="G494" s="3" t="n">
        <v>0</v>
      </c>
      <c r="H494" s="4">
        <f>IFERROR(D494/C494,0)</f>
        <v/>
      </c>
      <c r="I494" s="4">
        <f>IFERROR(E494/D494,0)</f>
        <v/>
      </c>
      <c r="J494" s="4">
        <f>IFERROR(F494/E494,0)</f>
        <v/>
      </c>
      <c r="K494" s="4">
        <f>IFERROR(G494/C494,0)</f>
        <v/>
      </c>
    </row>
    <row r="495">
      <c r="A495" s="5" t="inlineStr">
        <is>
          <t>2026-03-24</t>
        </is>
      </c>
      <c r="B495" s="5" t="inlineStr">
        <is>
          <t>Facebook Ads</t>
        </is>
      </c>
      <c r="C495" s="6" t="n">
        <v>181</v>
      </c>
      <c r="D495" s="6" t="n">
        <v>6</v>
      </c>
      <c r="E495" s="6" t="n">
        <v>1</v>
      </c>
      <c r="F495" s="6" t="n">
        <v>0</v>
      </c>
      <c r="G495" s="6" t="n">
        <v>0</v>
      </c>
      <c r="H495" s="7">
        <f>IFERROR(D495/C495,0)</f>
        <v/>
      </c>
      <c r="I495" s="7">
        <f>IFERROR(E495/D495,0)</f>
        <v/>
      </c>
      <c r="J495" s="7">
        <f>IFERROR(F495/E495,0)</f>
        <v/>
      </c>
      <c r="K495" s="7">
        <f>IFERROR(G495/C495,0)</f>
        <v/>
      </c>
    </row>
    <row r="496">
      <c r="A496" s="2" t="inlineStr">
        <is>
          <t>2026-03-24</t>
        </is>
      </c>
      <c r="B496" s="2" t="inlineStr">
        <is>
          <t>Organic SEO</t>
        </is>
      </c>
      <c r="C496" s="3" t="n">
        <v>280</v>
      </c>
      <c r="D496" s="3" t="n">
        <v>24</v>
      </c>
      <c r="E496" s="3" t="n">
        <v>6</v>
      </c>
      <c r="F496" s="3" t="n">
        <v>2</v>
      </c>
      <c r="G496" s="3" t="n">
        <v>1</v>
      </c>
      <c r="H496" s="4">
        <f>IFERROR(D496/C496,0)</f>
        <v/>
      </c>
      <c r="I496" s="4">
        <f>IFERROR(E496/D496,0)</f>
        <v/>
      </c>
      <c r="J496" s="4">
        <f>IFERROR(F496/E496,0)</f>
        <v/>
      </c>
      <c r="K496" s="4">
        <f>IFERROR(G496/C496,0)</f>
        <v/>
      </c>
    </row>
    <row r="497">
      <c r="A497" s="5" t="inlineStr">
        <is>
          <t>2026-03-24</t>
        </is>
      </c>
      <c r="B497" s="5" t="inlineStr">
        <is>
          <t>Email</t>
        </is>
      </c>
      <c r="C497" s="6" t="n">
        <v>109</v>
      </c>
      <c r="D497" s="6" t="n">
        <v>11</v>
      </c>
      <c r="E497" s="6" t="n">
        <v>2</v>
      </c>
      <c r="F497" s="6" t="n">
        <v>0</v>
      </c>
      <c r="G497" s="6" t="n">
        <v>1</v>
      </c>
      <c r="H497" s="7">
        <f>IFERROR(D497/C497,0)</f>
        <v/>
      </c>
      <c r="I497" s="7">
        <f>IFERROR(E497/D497,0)</f>
        <v/>
      </c>
      <c r="J497" s="7">
        <f>IFERROR(F497/E497,0)</f>
        <v/>
      </c>
      <c r="K497" s="7">
        <f>IFERROR(G497/C497,0)</f>
        <v/>
      </c>
    </row>
    <row r="498">
      <c r="A498" s="2" t="inlineStr">
        <is>
          <t>2026-03-24</t>
        </is>
      </c>
      <c r="B498" s="2" t="inlineStr">
        <is>
          <t>Referral</t>
        </is>
      </c>
      <c r="C498" s="3" t="n">
        <v>80</v>
      </c>
      <c r="D498" s="3" t="n">
        <v>10</v>
      </c>
      <c r="E498" s="3" t="n">
        <v>2</v>
      </c>
      <c r="F498" s="3" t="n">
        <v>0</v>
      </c>
      <c r="G498" s="3" t="n">
        <v>1</v>
      </c>
      <c r="H498" s="4">
        <f>IFERROR(D498/C498,0)</f>
        <v/>
      </c>
      <c r="I498" s="4">
        <f>IFERROR(E498/D498,0)</f>
        <v/>
      </c>
      <c r="J498" s="4">
        <f>IFERROR(F498/E498,0)</f>
        <v/>
      </c>
      <c r="K498" s="4">
        <f>IFERROR(G498/C498,0)</f>
        <v/>
      </c>
    </row>
    <row r="499">
      <c r="A499" s="5" t="inlineStr">
        <is>
          <t>2026-03-24</t>
        </is>
      </c>
      <c r="B499" s="5" t="inlineStr">
        <is>
          <t>Direct</t>
        </is>
      </c>
      <c r="C499" s="6" t="n">
        <v>62</v>
      </c>
      <c r="D499" s="6" t="n">
        <v>4</v>
      </c>
      <c r="E499" s="6" t="n">
        <v>0</v>
      </c>
      <c r="F499" s="6" t="n">
        <v>0</v>
      </c>
      <c r="G499" s="6" t="n">
        <v>0</v>
      </c>
      <c r="H499" s="7">
        <f>IFERROR(D499/C499,0)</f>
        <v/>
      </c>
      <c r="I499" s="7">
        <f>IFERROR(E499/D499,0)</f>
        <v/>
      </c>
      <c r="J499" s="7">
        <f>IFERROR(F499/E499,0)</f>
        <v/>
      </c>
      <c r="K499" s="7">
        <f>IFERROR(G499/C499,0)</f>
        <v/>
      </c>
    </row>
    <row r="500">
      <c r="A500" s="2" t="inlineStr">
        <is>
          <t>2026-03-25</t>
        </is>
      </c>
      <c r="B500" s="2" t="inlineStr">
        <is>
          <t>Google Ads</t>
        </is>
      </c>
      <c r="C500" s="3" t="n">
        <v>159</v>
      </c>
      <c r="D500" s="3" t="n">
        <v>14</v>
      </c>
      <c r="E500" s="3" t="n">
        <v>3</v>
      </c>
      <c r="F500" s="3" t="n">
        <v>1</v>
      </c>
      <c r="G500" s="3" t="n">
        <v>1</v>
      </c>
      <c r="H500" s="4">
        <f>IFERROR(D500/C500,0)</f>
        <v/>
      </c>
      <c r="I500" s="4">
        <f>IFERROR(E500/D500,0)</f>
        <v/>
      </c>
      <c r="J500" s="4">
        <f>IFERROR(F500/E500,0)</f>
        <v/>
      </c>
      <c r="K500" s="4">
        <f>IFERROR(G500/C500,0)</f>
        <v/>
      </c>
    </row>
    <row r="501">
      <c r="A501" s="5" t="inlineStr">
        <is>
          <t>2026-03-25</t>
        </is>
      </c>
      <c r="B501" s="5" t="inlineStr">
        <is>
          <t>Facebook Ads</t>
        </is>
      </c>
      <c r="C501" s="6" t="n">
        <v>161</v>
      </c>
      <c r="D501" s="6" t="n">
        <v>6</v>
      </c>
      <c r="E501" s="6" t="n">
        <v>1</v>
      </c>
      <c r="F501" s="6" t="n">
        <v>0</v>
      </c>
      <c r="G501" s="6" t="n">
        <v>0</v>
      </c>
      <c r="H501" s="7">
        <f>IFERROR(D501/C501,0)</f>
        <v/>
      </c>
      <c r="I501" s="7">
        <f>IFERROR(E501/D501,0)</f>
        <v/>
      </c>
      <c r="J501" s="7">
        <f>IFERROR(F501/E501,0)</f>
        <v/>
      </c>
      <c r="K501" s="7">
        <f>IFERROR(G501/C501,0)</f>
        <v/>
      </c>
    </row>
    <row r="502">
      <c r="A502" s="2" t="inlineStr">
        <is>
          <t>2026-03-25</t>
        </is>
      </c>
      <c r="B502" s="2" t="inlineStr">
        <is>
          <t>Organic SEO</t>
        </is>
      </c>
      <c r="C502" s="3" t="n">
        <v>233</v>
      </c>
      <c r="D502" s="3" t="n">
        <v>21</v>
      </c>
      <c r="E502" s="3" t="n">
        <v>5</v>
      </c>
      <c r="F502" s="3" t="n">
        <v>2</v>
      </c>
      <c r="G502" s="3" t="n">
        <v>1</v>
      </c>
      <c r="H502" s="4">
        <f>IFERROR(D502/C502,0)</f>
        <v/>
      </c>
      <c r="I502" s="4">
        <f>IFERROR(E502/D502,0)</f>
        <v/>
      </c>
      <c r="J502" s="4">
        <f>IFERROR(F502/E502,0)</f>
        <v/>
      </c>
      <c r="K502" s="4">
        <f>IFERROR(G502/C502,0)</f>
        <v/>
      </c>
    </row>
    <row r="503">
      <c r="A503" s="5" t="inlineStr">
        <is>
          <t>2026-03-25</t>
        </is>
      </c>
      <c r="B503" s="5" t="inlineStr">
        <is>
          <t>Email</t>
        </is>
      </c>
      <c r="C503" s="6" t="n">
        <v>108</v>
      </c>
      <c r="D503" s="6" t="n">
        <v>14</v>
      </c>
      <c r="E503" s="6" t="n">
        <v>3</v>
      </c>
      <c r="F503" s="6" t="n">
        <v>1</v>
      </c>
      <c r="G503" s="6" t="n">
        <v>1</v>
      </c>
      <c r="H503" s="7">
        <f>IFERROR(D503/C503,0)</f>
        <v/>
      </c>
      <c r="I503" s="7">
        <f>IFERROR(E503/D503,0)</f>
        <v/>
      </c>
      <c r="J503" s="7">
        <f>IFERROR(F503/E503,0)</f>
        <v/>
      </c>
      <c r="K503" s="7">
        <f>IFERROR(G503/C503,0)</f>
        <v/>
      </c>
    </row>
    <row r="504">
      <c r="A504" s="2" t="inlineStr">
        <is>
          <t>2026-03-25</t>
        </is>
      </c>
      <c r="B504" s="2" t="inlineStr">
        <is>
          <t>Referral</t>
        </is>
      </c>
      <c r="C504" s="3" t="n">
        <v>75</v>
      </c>
      <c r="D504" s="3" t="n">
        <v>10</v>
      </c>
      <c r="E504" s="3" t="n">
        <v>2</v>
      </c>
      <c r="F504" s="3" t="n">
        <v>0</v>
      </c>
      <c r="G504" s="3" t="n">
        <v>1</v>
      </c>
      <c r="H504" s="4">
        <f>IFERROR(D504/C504,0)</f>
        <v/>
      </c>
      <c r="I504" s="4">
        <f>IFERROR(E504/D504,0)</f>
        <v/>
      </c>
      <c r="J504" s="4">
        <f>IFERROR(F504/E504,0)</f>
        <v/>
      </c>
      <c r="K504" s="4">
        <f>IFERROR(G504/C504,0)</f>
        <v/>
      </c>
    </row>
    <row r="505">
      <c r="A505" s="5" t="inlineStr">
        <is>
          <t>2026-03-25</t>
        </is>
      </c>
      <c r="B505" s="5" t="inlineStr">
        <is>
          <t>Direct</t>
        </is>
      </c>
      <c r="C505" s="6" t="n">
        <v>96</v>
      </c>
      <c r="D505" s="6" t="n">
        <v>7</v>
      </c>
      <c r="E505" s="6" t="n">
        <v>1</v>
      </c>
      <c r="F505" s="6" t="n">
        <v>0</v>
      </c>
      <c r="G505" s="6" t="n">
        <v>0</v>
      </c>
      <c r="H505" s="7">
        <f>IFERROR(D505/C505,0)</f>
        <v/>
      </c>
      <c r="I505" s="7">
        <f>IFERROR(E505/D505,0)</f>
        <v/>
      </c>
      <c r="J505" s="7">
        <f>IFERROR(F505/E505,0)</f>
        <v/>
      </c>
      <c r="K505" s="7">
        <f>IFERROR(G505/C505,0)</f>
        <v/>
      </c>
    </row>
    <row r="506">
      <c r="A506" s="2" t="inlineStr">
        <is>
          <t>2026-03-26</t>
        </is>
      </c>
      <c r="B506" s="2" t="inlineStr">
        <is>
          <t>Google Ads</t>
        </is>
      </c>
      <c r="C506" s="3" t="n">
        <v>153</v>
      </c>
      <c r="D506" s="3" t="n">
        <v>9</v>
      </c>
      <c r="E506" s="3" t="n">
        <v>2</v>
      </c>
      <c r="F506" s="3" t="n">
        <v>0</v>
      </c>
      <c r="G506" s="3" t="n">
        <v>0</v>
      </c>
      <c r="H506" s="4">
        <f>IFERROR(D506/C506,0)</f>
        <v/>
      </c>
      <c r="I506" s="4">
        <f>IFERROR(E506/D506,0)</f>
        <v/>
      </c>
      <c r="J506" s="4">
        <f>IFERROR(F506/E506,0)</f>
        <v/>
      </c>
      <c r="K506" s="4">
        <f>IFERROR(G506/C506,0)</f>
        <v/>
      </c>
    </row>
    <row r="507">
      <c r="A507" s="5" t="inlineStr">
        <is>
          <t>2026-03-26</t>
        </is>
      </c>
      <c r="B507" s="5" t="inlineStr">
        <is>
          <t>Facebook Ads</t>
        </is>
      </c>
      <c r="C507" s="6" t="n">
        <v>174</v>
      </c>
      <c r="D507" s="6" t="n">
        <v>7</v>
      </c>
      <c r="E507" s="6" t="n">
        <v>1</v>
      </c>
      <c r="F507" s="6" t="n">
        <v>0</v>
      </c>
      <c r="G507" s="6" t="n">
        <v>0</v>
      </c>
      <c r="H507" s="7">
        <f>IFERROR(D507/C507,0)</f>
        <v/>
      </c>
      <c r="I507" s="7">
        <f>IFERROR(E507/D507,0)</f>
        <v/>
      </c>
      <c r="J507" s="7">
        <f>IFERROR(F507/E507,0)</f>
        <v/>
      </c>
      <c r="K507" s="7">
        <f>IFERROR(G507/C507,0)</f>
        <v/>
      </c>
    </row>
    <row r="508">
      <c r="A508" s="2" t="inlineStr">
        <is>
          <t>2026-03-26</t>
        </is>
      </c>
      <c r="B508" s="2" t="inlineStr">
        <is>
          <t>Organic SEO</t>
        </is>
      </c>
      <c r="C508" s="3" t="n">
        <v>266</v>
      </c>
      <c r="D508" s="3" t="n">
        <v>24</v>
      </c>
      <c r="E508" s="3" t="n">
        <v>5</v>
      </c>
      <c r="F508" s="3" t="n">
        <v>1</v>
      </c>
      <c r="G508" s="3" t="n">
        <v>1</v>
      </c>
      <c r="H508" s="4">
        <f>IFERROR(D508/C508,0)</f>
        <v/>
      </c>
      <c r="I508" s="4">
        <f>IFERROR(E508/D508,0)</f>
        <v/>
      </c>
      <c r="J508" s="4">
        <f>IFERROR(F508/E508,0)</f>
        <v/>
      </c>
      <c r="K508" s="4">
        <f>IFERROR(G508/C508,0)</f>
        <v/>
      </c>
    </row>
    <row r="509">
      <c r="A509" s="5" t="inlineStr">
        <is>
          <t>2026-03-26</t>
        </is>
      </c>
      <c r="B509" s="5" t="inlineStr">
        <is>
          <t>Email</t>
        </is>
      </c>
      <c r="C509" s="6" t="n">
        <v>53</v>
      </c>
      <c r="D509" s="6" t="n">
        <v>6</v>
      </c>
      <c r="E509" s="6" t="n">
        <v>1</v>
      </c>
      <c r="F509" s="6" t="n">
        <v>0</v>
      </c>
      <c r="G509" s="6" t="n">
        <v>0</v>
      </c>
      <c r="H509" s="7">
        <f>IFERROR(D509/C509,0)</f>
        <v/>
      </c>
      <c r="I509" s="7">
        <f>IFERROR(E509/D509,0)</f>
        <v/>
      </c>
      <c r="J509" s="7">
        <f>IFERROR(F509/E509,0)</f>
        <v/>
      </c>
      <c r="K509" s="7">
        <f>IFERROR(G509/C509,0)</f>
        <v/>
      </c>
    </row>
    <row r="510">
      <c r="A510" s="2" t="inlineStr">
        <is>
          <t>2026-03-26</t>
        </is>
      </c>
      <c r="B510" s="2" t="inlineStr">
        <is>
          <t>Referral</t>
        </is>
      </c>
      <c r="C510" s="3" t="n">
        <v>83</v>
      </c>
      <c r="D510" s="3" t="n">
        <v>10</v>
      </c>
      <c r="E510" s="3" t="n">
        <v>2</v>
      </c>
      <c r="F510" s="3" t="n">
        <v>0</v>
      </c>
      <c r="G510" s="3" t="n">
        <v>1</v>
      </c>
      <c r="H510" s="4">
        <f>IFERROR(D510/C510,0)</f>
        <v/>
      </c>
      <c r="I510" s="4">
        <f>IFERROR(E510/D510,0)</f>
        <v/>
      </c>
      <c r="J510" s="4">
        <f>IFERROR(F510/E510,0)</f>
        <v/>
      </c>
      <c r="K510" s="4">
        <f>IFERROR(G510/C510,0)</f>
        <v/>
      </c>
    </row>
    <row r="511">
      <c r="A511" s="5" t="inlineStr">
        <is>
          <t>2026-03-26</t>
        </is>
      </c>
      <c r="B511" s="5" t="inlineStr">
        <is>
          <t>Direct</t>
        </is>
      </c>
      <c r="C511" s="6" t="n">
        <v>71</v>
      </c>
      <c r="D511" s="6" t="n">
        <v>4</v>
      </c>
      <c r="E511" s="6" t="n">
        <v>1</v>
      </c>
      <c r="F511" s="6" t="n">
        <v>0</v>
      </c>
      <c r="G511" s="6" t="n">
        <v>0</v>
      </c>
      <c r="H511" s="7">
        <f>IFERROR(D511/C511,0)</f>
        <v/>
      </c>
      <c r="I511" s="7">
        <f>IFERROR(E511/D511,0)</f>
        <v/>
      </c>
      <c r="J511" s="7">
        <f>IFERROR(F511/E511,0)</f>
        <v/>
      </c>
      <c r="K511" s="7">
        <f>IFERROR(G511/C511,0)</f>
        <v/>
      </c>
    </row>
    <row r="512">
      <c r="A512" s="2" t="inlineStr">
        <is>
          <t>2026-03-27</t>
        </is>
      </c>
      <c r="B512" s="2" t="inlineStr">
        <is>
          <t>Google Ads</t>
        </is>
      </c>
      <c r="C512" s="3" t="n">
        <v>148</v>
      </c>
      <c r="D512" s="3" t="n">
        <v>10</v>
      </c>
      <c r="E512" s="3" t="n">
        <v>2</v>
      </c>
      <c r="F512" s="3" t="n">
        <v>0</v>
      </c>
      <c r="G512" s="3" t="n">
        <v>0</v>
      </c>
      <c r="H512" s="4">
        <f>IFERROR(D512/C512,0)</f>
        <v/>
      </c>
      <c r="I512" s="4">
        <f>IFERROR(E512/D512,0)</f>
        <v/>
      </c>
      <c r="J512" s="4">
        <f>IFERROR(F512/E512,0)</f>
        <v/>
      </c>
      <c r="K512" s="4">
        <f>IFERROR(G512/C512,0)</f>
        <v/>
      </c>
    </row>
    <row r="513">
      <c r="A513" s="5" t="inlineStr">
        <is>
          <t>2026-03-27</t>
        </is>
      </c>
      <c r="B513" s="5" t="inlineStr">
        <is>
          <t>Facebook Ads</t>
        </is>
      </c>
      <c r="C513" s="6" t="n">
        <v>182</v>
      </c>
      <c r="D513" s="6" t="n">
        <v>4</v>
      </c>
      <c r="E513" s="6" t="n">
        <v>1</v>
      </c>
      <c r="F513" s="6" t="n">
        <v>0</v>
      </c>
      <c r="G513" s="6" t="n">
        <v>0</v>
      </c>
      <c r="H513" s="7">
        <f>IFERROR(D513/C513,0)</f>
        <v/>
      </c>
      <c r="I513" s="7">
        <f>IFERROR(E513/D513,0)</f>
        <v/>
      </c>
      <c r="J513" s="7">
        <f>IFERROR(F513/E513,0)</f>
        <v/>
      </c>
      <c r="K513" s="7">
        <f>IFERROR(G513/C513,0)</f>
        <v/>
      </c>
    </row>
    <row r="514">
      <c r="A514" s="2" t="inlineStr">
        <is>
          <t>2026-03-27</t>
        </is>
      </c>
      <c r="B514" s="2" t="inlineStr">
        <is>
          <t>Organic SEO</t>
        </is>
      </c>
      <c r="C514" s="3" t="n">
        <v>246</v>
      </c>
      <c r="D514" s="3" t="n">
        <v>18</v>
      </c>
      <c r="E514" s="3" t="n">
        <v>4</v>
      </c>
      <c r="F514" s="3" t="n">
        <v>1</v>
      </c>
      <c r="G514" s="3" t="n">
        <v>1</v>
      </c>
      <c r="H514" s="4">
        <f>IFERROR(D514/C514,0)</f>
        <v/>
      </c>
      <c r="I514" s="4">
        <f>IFERROR(E514/D514,0)</f>
        <v/>
      </c>
      <c r="J514" s="4">
        <f>IFERROR(F514/E514,0)</f>
        <v/>
      </c>
      <c r="K514" s="4">
        <f>IFERROR(G514/C514,0)</f>
        <v/>
      </c>
    </row>
    <row r="515">
      <c r="A515" s="5" t="inlineStr">
        <is>
          <t>2026-03-27</t>
        </is>
      </c>
      <c r="B515" s="5" t="inlineStr">
        <is>
          <t>Email</t>
        </is>
      </c>
      <c r="C515" s="6" t="n">
        <v>69</v>
      </c>
      <c r="D515" s="6" t="n">
        <v>9</v>
      </c>
      <c r="E515" s="6" t="n">
        <v>2</v>
      </c>
      <c r="F515" s="6" t="n">
        <v>0</v>
      </c>
      <c r="G515" s="6" t="n">
        <v>1</v>
      </c>
      <c r="H515" s="7">
        <f>IFERROR(D515/C515,0)</f>
        <v/>
      </c>
      <c r="I515" s="7">
        <f>IFERROR(E515/D515,0)</f>
        <v/>
      </c>
      <c r="J515" s="7">
        <f>IFERROR(F515/E515,0)</f>
        <v/>
      </c>
      <c r="K515" s="7">
        <f>IFERROR(G515/C515,0)</f>
        <v/>
      </c>
    </row>
    <row r="516">
      <c r="A516" s="2" t="inlineStr">
        <is>
          <t>2026-03-27</t>
        </is>
      </c>
      <c r="B516" s="2" t="inlineStr">
        <is>
          <t>Referral</t>
        </is>
      </c>
      <c r="C516" s="3" t="n">
        <v>40</v>
      </c>
      <c r="D516" s="3" t="n">
        <v>4</v>
      </c>
      <c r="E516" s="3" t="n">
        <v>0</v>
      </c>
      <c r="F516" s="3" t="n">
        <v>0</v>
      </c>
      <c r="G516" s="3" t="n">
        <v>0</v>
      </c>
      <c r="H516" s="4">
        <f>IFERROR(D516/C516,0)</f>
        <v/>
      </c>
      <c r="I516" s="4">
        <f>IFERROR(E516/D516,0)</f>
        <v/>
      </c>
      <c r="J516" s="4">
        <f>IFERROR(F516/E516,0)</f>
        <v/>
      </c>
      <c r="K516" s="4">
        <f>IFERROR(G516/C516,0)</f>
        <v/>
      </c>
    </row>
    <row r="517">
      <c r="A517" s="5" t="inlineStr">
        <is>
          <t>2026-03-27</t>
        </is>
      </c>
      <c r="B517" s="5" t="inlineStr">
        <is>
          <t>Direct</t>
        </is>
      </c>
      <c r="C517" s="6" t="n">
        <v>59</v>
      </c>
      <c r="D517" s="6" t="n">
        <v>2</v>
      </c>
      <c r="E517" s="6" t="n">
        <v>0</v>
      </c>
      <c r="F517" s="6" t="n">
        <v>0</v>
      </c>
      <c r="G517" s="6" t="n">
        <v>0</v>
      </c>
      <c r="H517" s="7">
        <f>IFERROR(D517/C517,0)</f>
        <v/>
      </c>
      <c r="I517" s="7">
        <f>IFERROR(E517/D517,0)</f>
        <v/>
      </c>
      <c r="J517" s="7">
        <f>IFERROR(F517/E517,0)</f>
        <v/>
      </c>
      <c r="K517" s="7">
        <f>IFERROR(G517/C517,0)</f>
        <v/>
      </c>
    </row>
    <row r="518">
      <c r="A518" s="2" t="inlineStr">
        <is>
          <t>2026-03-28</t>
        </is>
      </c>
      <c r="B518" s="2" t="inlineStr">
        <is>
          <t>Google Ads</t>
        </is>
      </c>
      <c r="C518" s="3" t="n">
        <v>148</v>
      </c>
      <c r="D518" s="3" t="n">
        <v>12</v>
      </c>
      <c r="E518" s="3" t="n">
        <v>3</v>
      </c>
      <c r="F518" s="3" t="n">
        <v>1</v>
      </c>
      <c r="G518" s="3" t="n">
        <v>0</v>
      </c>
      <c r="H518" s="4">
        <f>IFERROR(D518/C518,0)</f>
        <v/>
      </c>
      <c r="I518" s="4">
        <f>IFERROR(E518/D518,0)</f>
        <v/>
      </c>
      <c r="J518" s="4">
        <f>IFERROR(F518/E518,0)</f>
        <v/>
      </c>
      <c r="K518" s="4">
        <f>IFERROR(G518/C518,0)</f>
        <v/>
      </c>
    </row>
    <row r="519">
      <c r="A519" s="5" t="inlineStr">
        <is>
          <t>2026-03-28</t>
        </is>
      </c>
      <c r="B519" s="5" t="inlineStr">
        <is>
          <t>Facebook Ads</t>
        </is>
      </c>
      <c r="C519" s="6" t="n">
        <v>125</v>
      </c>
      <c r="D519" s="6" t="n">
        <v>4</v>
      </c>
      <c r="E519" s="6" t="n">
        <v>1</v>
      </c>
      <c r="F519" s="6" t="n">
        <v>0</v>
      </c>
      <c r="G519" s="6" t="n">
        <v>0</v>
      </c>
      <c r="H519" s="7">
        <f>IFERROR(D519/C519,0)</f>
        <v/>
      </c>
      <c r="I519" s="7">
        <f>IFERROR(E519/D519,0)</f>
        <v/>
      </c>
      <c r="J519" s="7">
        <f>IFERROR(F519/E519,0)</f>
        <v/>
      </c>
      <c r="K519" s="7">
        <f>IFERROR(G519/C519,0)</f>
        <v/>
      </c>
    </row>
    <row r="520">
      <c r="A520" s="2" t="inlineStr">
        <is>
          <t>2026-03-28</t>
        </is>
      </c>
      <c r="B520" s="2" t="inlineStr">
        <is>
          <t>Organic SEO</t>
        </is>
      </c>
      <c r="C520" s="3" t="n">
        <v>261</v>
      </c>
      <c r="D520" s="3" t="n">
        <v>21</v>
      </c>
      <c r="E520" s="3" t="n">
        <v>5</v>
      </c>
      <c r="F520" s="3" t="n">
        <v>1</v>
      </c>
      <c r="G520" s="3" t="n">
        <v>1</v>
      </c>
      <c r="H520" s="4">
        <f>IFERROR(D520/C520,0)</f>
        <v/>
      </c>
      <c r="I520" s="4">
        <f>IFERROR(E520/D520,0)</f>
        <v/>
      </c>
      <c r="J520" s="4">
        <f>IFERROR(F520/E520,0)</f>
        <v/>
      </c>
      <c r="K520" s="4">
        <f>IFERROR(G520/C520,0)</f>
        <v/>
      </c>
    </row>
    <row r="521">
      <c r="A521" s="5" t="inlineStr">
        <is>
          <t>2026-03-28</t>
        </is>
      </c>
      <c r="B521" s="5" t="inlineStr">
        <is>
          <t>Email</t>
        </is>
      </c>
      <c r="C521" s="6" t="n">
        <v>85</v>
      </c>
      <c r="D521" s="6" t="n">
        <v>12</v>
      </c>
      <c r="E521" s="6" t="n">
        <v>3</v>
      </c>
      <c r="F521" s="6" t="n">
        <v>1</v>
      </c>
      <c r="G521" s="6" t="n">
        <v>1</v>
      </c>
      <c r="H521" s="7">
        <f>IFERROR(D521/C521,0)</f>
        <v/>
      </c>
      <c r="I521" s="7">
        <f>IFERROR(E521/D521,0)</f>
        <v/>
      </c>
      <c r="J521" s="7">
        <f>IFERROR(F521/E521,0)</f>
        <v/>
      </c>
      <c r="K521" s="7">
        <f>IFERROR(G521/C521,0)</f>
        <v/>
      </c>
    </row>
    <row r="522">
      <c r="A522" s="2" t="inlineStr">
        <is>
          <t>2026-03-28</t>
        </is>
      </c>
      <c r="B522" s="2" t="inlineStr">
        <is>
          <t>Referral</t>
        </is>
      </c>
      <c r="C522" s="3" t="n">
        <v>28</v>
      </c>
      <c r="D522" s="3" t="n">
        <v>4</v>
      </c>
      <c r="E522" s="3" t="n">
        <v>1</v>
      </c>
      <c r="F522" s="3" t="n">
        <v>0</v>
      </c>
      <c r="G522" s="3" t="n">
        <v>0</v>
      </c>
      <c r="H522" s="4">
        <f>IFERROR(D522/C522,0)</f>
        <v/>
      </c>
      <c r="I522" s="4">
        <f>IFERROR(E522/D522,0)</f>
        <v/>
      </c>
      <c r="J522" s="4">
        <f>IFERROR(F522/E522,0)</f>
        <v/>
      </c>
      <c r="K522" s="4">
        <f>IFERROR(G522/C522,0)</f>
        <v/>
      </c>
    </row>
    <row r="523">
      <c r="A523" s="5" t="inlineStr">
        <is>
          <t>2026-03-28</t>
        </is>
      </c>
      <c r="B523" s="5" t="inlineStr">
        <is>
          <t>Direct</t>
        </is>
      </c>
      <c r="C523" s="6" t="n">
        <v>40</v>
      </c>
      <c r="D523" s="6" t="n">
        <v>2</v>
      </c>
      <c r="E523" s="6" t="n">
        <v>0</v>
      </c>
      <c r="F523" s="6" t="n">
        <v>0</v>
      </c>
      <c r="G523" s="6" t="n">
        <v>0</v>
      </c>
      <c r="H523" s="7">
        <f>IFERROR(D523/C523,0)</f>
        <v/>
      </c>
      <c r="I523" s="7">
        <f>IFERROR(E523/D523,0)</f>
        <v/>
      </c>
      <c r="J523" s="7">
        <f>IFERROR(F523/E523,0)</f>
        <v/>
      </c>
      <c r="K523" s="7">
        <f>IFERROR(G523/C523,0)</f>
        <v/>
      </c>
    </row>
    <row r="524">
      <c r="A524" s="2" t="inlineStr">
        <is>
          <t>2026-03-29</t>
        </is>
      </c>
      <c r="B524" s="2" t="inlineStr">
        <is>
          <t>Google Ads</t>
        </is>
      </c>
      <c r="C524" s="3" t="n">
        <v>193</v>
      </c>
      <c r="D524" s="3" t="n">
        <v>16</v>
      </c>
      <c r="E524" s="3" t="n">
        <v>4</v>
      </c>
      <c r="F524" s="3" t="n">
        <v>1</v>
      </c>
      <c r="G524" s="3" t="n">
        <v>1</v>
      </c>
      <c r="H524" s="4">
        <f>IFERROR(D524/C524,0)</f>
        <v/>
      </c>
      <c r="I524" s="4">
        <f>IFERROR(E524/D524,0)</f>
        <v/>
      </c>
      <c r="J524" s="4">
        <f>IFERROR(F524/E524,0)</f>
        <v/>
      </c>
      <c r="K524" s="4">
        <f>IFERROR(G524/C524,0)</f>
        <v/>
      </c>
    </row>
    <row r="525">
      <c r="A525" s="5" t="inlineStr">
        <is>
          <t>2026-03-29</t>
        </is>
      </c>
      <c r="B525" s="5" t="inlineStr">
        <is>
          <t>Facebook Ads</t>
        </is>
      </c>
      <c r="C525" s="6" t="n">
        <v>168</v>
      </c>
      <c r="D525" s="6" t="n">
        <v>6</v>
      </c>
      <c r="E525" s="6" t="n">
        <v>1</v>
      </c>
      <c r="F525" s="6" t="n">
        <v>0</v>
      </c>
      <c r="G525" s="6" t="n">
        <v>0</v>
      </c>
      <c r="H525" s="7">
        <f>IFERROR(D525/C525,0)</f>
        <v/>
      </c>
      <c r="I525" s="7">
        <f>IFERROR(E525/D525,0)</f>
        <v/>
      </c>
      <c r="J525" s="7">
        <f>IFERROR(F525/E525,0)</f>
        <v/>
      </c>
      <c r="K525" s="7">
        <f>IFERROR(G525/C525,0)</f>
        <v/>
      </c>
    </row>
    <row r="526">
      <c r="A526" s="2" t="inlineStr">
        <is>
          <t>2026-03-29</t>
        </is>
      </c>
      <c r="B526" s="2" t="inlineStr">
        <is>
          <t>Organic SEO</t>
        </is>
      </c>
      <c r="C526" s="3" t="n">
        <v>242</v>
      </c>
      <c r="D526" s="3" t="n">
        <v>19</v>
      </c>
      <c r="E526" s="3" t="n">
        <v>5</v>
      </c>
      <c r="F526" s="3" t="n">
        <v>2</v>
      </c>
      <c r="G526" s="3" t="n">
        <v>1</v>
      </c>
      <c r="H526" s="4">
        <f>IFERROR(D526/C526,0)</f>
        <v/>
      </c>
      <c r="I526" s="4">
        <f>IFERROR(E526/D526,0)</f>
        <v/>
      </c>
      <c r="J526" s="4">
        <f>IFERROR(F526/E526,0)</f>
        <v/>
      </c>
      <c r="K526" s="4">
        <f>IFERROR(G526/C526,0)</f>
        <v/>
      </c>
    </row>
    <row r="527">
      <c r="A527" s="5" t="inlineStr">
        <is>
          <t>2026-03-29</t>
        </is>
      </c>
      <c r="B527" s="5" t="inlineStr">
        <is>
          <t>Email</t>
        </is>
      </c>
      <c r="C527" s="6" t="n">
        <v>85</v>
      </c>
      <c r="D527" s="6" t="n">
        <v>12</v>
      </c>
      <c r="E527" s="6" t="n">
        <v>2</v>
      </c>
      <c r="F527" s="6" t="n">
        <v>0</v>
      </c>
      <c r="G527" s="6" t="n">
        <v>1</v>
      </c>
      <c r="H527" s="7">
        <f>IFERROR(D527/C527,0)</f>
        <v/>
      </c>
      <c r="I527" s="7">
        <f>IFERROR(E527/D527,0)</f>
        <v/>
      </c>
      <c r="J527" s="7">
        <f>IFERROR(F527/E527,0)</f>
        <v/>
      </c>
      <c r="K527" s="7">
        <f>IFERROR(G527/C527,0)</f>
        <v/>
      </c>
    </row>
    <row r="528">
      <c r="A528" s="2" t="inlineStr">
        <is>
          <t>2026-03-29</t>
        </is>
      </c>
      <c r="B528" s="2" t="inlineStr">
        <is>
          <t>Referral</t>
        </is>
      </c>
      <c r="C528" s="3" t="n">
        <v>61</v>
      </c>
      <c r="D528" s="3" t="n">
        <v>9</v>
      </c>
      <c r="E528" s="3" t="n">
        <v>2</v>
      </c>
      <c r="F528" s="3" t="n">
        <v>0</v>
      </c>
      <c r="G528" s="3" t="n">
        <v>1</v>
      </c>
      <c r="H528" s="4">
        <f>IFERROR(D528/C528,0)</f>
        <v/>
      </c>
      <c r="I528" s="4">
        <f>IFERROR(E528/D528,0)</f>
        <v/>
      </c>
      <c r="J528" s="4">
        <f>IFERROR(F528/E528,0)</f>
        <v/>
      </c>
      <c r="K528" s="4">
        <f>IFERROR(G528/C528,0)</f>
        <v/>
      </c>
    </row>
    <row r="529">
      <c r="A529" s="5" t="inlineStr">
        <is>
          <t>2026-03-29</t>
        </is>
      </c>
      <c r="B529" s="5" t="inlineStr">
        <is>
          <t>Direct</t>
        </is>
      </c>
      <c r="C529" s="6" t="n">
        <v>66</v>
      </c>
      <c r="D529" s="6" t="n">
        <v>4</v>
      </c>
      <c r="E529" s="6" t="n">
        <v>0</v>
      </c>
      <c r="F529" s="6" t="n">
        <v>0</v>
      </c>
      <c r="G529" s="6" t="n">
        <v>0</v>
      </c>
      <c r="H529" s="7">
        <f>IFERROR(D529/C529,0)</f>
        <v/>
      </c>
      <c r="I529" s="7">
        <f>IFERROR(E529/D529,0)</f>
        <v/>
      </c>
      <c r="J529" s="7">
        <f>IFERROR(F529/E529,0)</f>
        <v/>
      </c>
      <c r="K529" s="7">
        <f>IFERROR(G529/C529,0)</f>
        <v/>
      </c>
    </row>
    <row r="530">
      <c r="A530" s="2" t="inlineStr">
        <is>
          <t>2026-03-30</t>
        </is>
      </c>
      <c r="B530" s="2" t="inlineStr">
        <is>
          <t>Google Ads</t>
        </is>
      </c>
      <c r="C530" s="3" t="n">
        <v>177</v>
      </c>
      <c r="D530" s="3" t="n">
        <v>10</v>
      </c>
      <c r="E530" s="3" t="n">
        <v>2</v>
      </c>
      <c r="F530" s="3" t="n">
        <v>0</v>
      </c>
      <c r="G530" s="3" t="n">
        <v>0</v>
      </c>
      <c r="H530" s="4">
        <f>IFERROR(D530/C530,0)</f>
        <v/>
      </c>
      <c r="I530" s="4">
        <f>IFERROR(E530/D530,0)</f>
        <v/>
      </c>
      <c r="J530" s="4">
        <f>IFERROR(F530/E530,0)</f>
        <v/>
      </c>
      <c r="K530" s="4">
        <f>IFERROR(G530/C530,0)</f>
        <v/>
      </c>
    </row>
    <row r="531">
      <c r="A531" s="5" t="inlineStr">
        <is>
          <t>2026-03-30</t>
        </is>
      </c>
      <c r="B531" s="5" t="inlineStr">
        <is>
          <t>Facebook Ads</t>
        </is>
      </c>
      <c r="C531" s="6" t="n">
        <v>172</v>
      </c>
      <c r="D531" s="6" t="n">
        <v>7</v>
      </c>
      <c r="E531" s="6" t="n">
        <v>1</v>
      </c>
      <c r="F531" s="6" t="n">
        <v>0</v>
      </c>
      <c r="G531" s="6" t="n">
        <v>0</v>
      </c>
      <c r="H531" s="7">
        <f>IFERROR(D531/C531,0)</f>
        <v/>
      </c>
      <c r="I531" s="7">
        <f>IFERROR(E531/D531,0)</f>
        <v/>
      </c>
      <c r="J531" s="7">
        <f>IFERROR(F531/E531,0)</f>
        <v/>
      </c>
      <c r="K531" s="7">
        <f>IFERROR(G531/C531,0)</f>
        <v/>
      </c>
    </row>
    <row r="532">
      <c r="A532" s="2" t="inlineStr">
        <is>
          <t>2026-03-30</t>
        </is>
      </c>
      <c r="B532" s="2" t="inlineStr">
        <is>
          <t>Organic SEO</t>
        </is>
      </c>
      <c r="C532" s="3" t="n">
        <v>194</v>
      </c>
      <c r="D532" s="3" t="n">
        <v>15</v>
      </c>
      <c r="E532" s="3" t="n">
        <v>4</v>
      </c>
      <c r="F532" s="3" t="n">
        <v>1</v>
      </c>
      <c r="G532" s="3" t="n">
        <v>1</v>
      </c>
      <c r="H532" s="4">
        <f>IFERROR(D532/C532,0)</f>
        <v/>
      </c>
      <c r="I532" s="4">
        <f>IFERROR(E532/D532,0)</f>
        <v/>
      </c>
      <c r="J532" s="4">
        <f>IFERROR(F532/E532,0)</f>
        <v/>
      </c>
      <c r="K532" s="4">
        <f>IFERROR(G532/C532,0)</f>
        <v/>
      </c>
    </row>
    <row r="533">
      <c r="A533" s="5" t="inlineStr">
        <is>
          <t>2026-03-30</t>
        </is>
      </c>
      <c r="B533" s="5" t="inlineStr">
        <is>
          <t>Email</t>
        </is>
      </c>
      <c r="C533" s="6" t="n">
        <v>136</v>
      </c>
      <c r="D533" s="6" t="n">
        <v>13</v>
      </c>
      <c r="E533" s="6" t="n">
        <v>3</v>
      </c>
      <c r="F533" s="6" t="n">
        <v>1</v>
      </c>
      <c r="G533" s="6" t="n">
        <v>1</v>
      </c>
      <c r="H533" s="7">
        <f>IFERROR(D533/C533,0)</f>
        <v/>
      </c>
      <c r="I533" s="7">
        <f>IFERROR(E533/D533,0)</f>
        <v/>
      </c>
      <c r="J533" s="7">
        <f>IFERROR(F533/E533,0)</f>
        <v/>
      </c>
      <c r="K533" s="7">
        <f>IFERROR(G533/C533,0)</f>
        <v/>
      </c>
    </row>
    <row r="534">
      <c r="A534" s="2" t="inlineStr">
        <is>
          <t>2026-03-30</t>
        </is>
      </c>
      <c r="B534" s="2" t="inlineStr">
        <is>
          <t>Referral</t>
        </is>
      </c>
      <c r="C534" s="3" t="n">
        <v>10</v>
      </c>
      <c r="D534" s="3" t="n">
        <v>1</v>
      </c>
      <c r="E534" s="3" t="n">
        <v>0</v>
      </c>
      <c r="F534" s="3" t="n">
        <v>0</v>
      </c>
      <c r="G534" s="3" t="n">
        <v>0</v>
      </c>
      <c r="H534" s="4">
        <f>IFERROR(D534/C534,0)</f>
        <v/>
      </c>
      <c r="I534" s="4">
        <f>IFERROR(E534/D534,0)</f>
        <v/>
      </c>
      <c r="J534" s="4">
        <f>IFERROR(F534/E534,0)</f>
        <v/>
      </c>
      <c r="K534" s="4">
        <f>IFERROR(G534/C534,0)</f>
        <v/>
      </c>
    </row>
    <row r="535">
      <c r="A535" s="5" t="inlineStr">
        <is>
          <t>2026-03-30</t>
        </is>
      </c>
      <c r="B535" s="5" t="inlineStr">
        <is>
          <t>Direct</t>
        </is>
      </c>
      <c r="C535" s="6" t="n">
        <v>14</v>
      </c>
      <c r="D535" s="6" t="n">
        <v>0</v>
      </c>
      <c r="E535" s="6" t="n">
        <v>0</v>
      </c>
      <c r="F535" s="6" t="n">
        <v>0</v>
      </c>
      <c r="G535" s="6" t="n">
        <v>0</v>
      </c>
      <c r="H535" s="7">
        <f>IFERROR(D535/C535,0)</f>
        <v/>
      </c>
      <c r="I535" s="7">
        <f>IFERROR(E535/D535,0)</f>
        <v/>
      </c>
      <c r="J535" s="7">
        <f>IFERROR(F535/E535,0)</f>
        <v/>
      </c>
      <c r="K535" s="7">
        <f>IFERROR(G535/C535,0)</f>
        <v/>
      </c>
    </row>
    <row r="536">
      <c r="A536" s="2" t="inlineStr">
        <is>
          <t>2026-03-31</t>
        </is>
      </c>
      <c r="B536" s="2" t="inlineStr">
        <is>
          <t>Google Ads</t>
        </is>
      </c>
      <c r="C536" s="3" t="n">
        <v>155</v>
      </c>
      <c r="D536" s="3" t="n">
        <v>14</v>
      </c>
      <c r="E536" s="3" t="n">
        <v>3</v>
      </c>
      <c r="F536" s="3" t="n">
        <v>1</v>
      </c>
      <c r="G536" s="3" t="n">
        <v>0</v>
      </c>
      <c r="H536" s="4">
        <f>IFERROR(D536/C536,0)</f>
        <v/>
      </c>
      <c r="I536" s="4">
        <f>IFERROR(E536/D536,0)</f>
        <v/>
      </c>
      <c r="J536" s="4">
        <f>IFERROR(F536/E536,0)</f>
        <v/>
      </c>
      <c r="K536" s="4">
        <f>IFERROR(G536/C536,0)</f>
        <v/>
      </c>
    </row>
    <row r="537">
      <c r="A537" s="5" t="inlineStr">
        <is>
          <t>2026-03-31</t>
        </is>
      </c>
      <c r="B537" s="5" t="inlineStr">
        <is>
          <t>Facebook Ads</t>
        </is>
      </c>
      <c r="C537" s="6" t="n">
        <v>144</v>
      </c>
      <c r="D537" s="6" t="n">
        <v>6</v>
      </c>
      <c r="E537" s="6" t="n">
        <v>1</v>
      </c>
      <c r="F537" s="6" t="n">
        <v>0</v>
      </c>
      <c r="G537" s="6" t="n">
        <v>0</v>
      </c>
      <c r="H537" s="7">
        <f>IFERROR(D537/C537,0)</f>
        <v/>
      </c>
      <c r="I537" s="7">
        <f>IFERROR(E537/D537,0)</f>
        <v/>
      </c>
      <c r="J537" s="7">
        <f>IFERROR(F537/E537,0)</f>
        <v/>
      </c>
      <c r="K537" s="7">
        <f>IFERROR(G537/C537,0)</f>
        <v/>
      </c>
    </row>
    <row r="538">
      <c r="A538" s="2" t="inlineStr">
        <is>
          <t>2026-03-31</t>
        </is>
      </c>
      <c r="B538" s="2" t="inlineStr">
        <is>
          <t>Organic SEO</t>
        </is>
      </c>
      <c r="C538" s="3" t="n">
        <v>280</v>
      </c>
      <c r="D538" s="3" t="n">
        <v>21</v>
      </c>
      <c r="E538" s="3" t="n">
        <v>4</v>
      </c>
      <c r="F538" s="3" t="n">
        <v>1</v>
      </c>
      <c r="G538" s="3" t="n">
        <v>1</v>
      </c>
      <c r="H538" s="4">
        <f>IFERROR(D538/C538,0)</f>
        <v/>
      </c>
      <c r="I538" s="4">
        <f>IFERROR(E538/D538,0)</f>
        <v/>
      </c>
      <c r="J538" s="4">
        <f>IFERROR(F538/E538,0)</f>
        <v/>
      </c>
      <c r="K538" s="4">
        <f>IFERROR(G538/C538,0)</f>
        <v/>
      </c>
    </row>
    <row r="539">
      <c r="A539" s="5" t="inlineStr">
        <is>
          <t>2026-03-31</t>
        </is>
      </c>
      <c r="B539" s="5" t="inlineStr">
        <is>
          <t>Email</t>
        </is>
      </c>
      <c r="C539" s="6" t="n">
        <v>75</v>
      </c>
      <c r="D539" s="6" t="n">
        <v>9</v>
      </c>
      <c r="E539" s="6" t="n">
        <v>2</v>
      </c>
      <c r="F539" s="6" t="n">
        <v>0</v>
      </c>
      <c r="G539" s="6" t="n">
        <v>0</v>
      </c>
      <c r="H539" s="7">
        <f>IFERROR(D539/C539,0)</f>
        <v/>
      </c>
      <c r="I539" s="7">
        <f>IFERROR(E539/D539,0)</f>
        <v/>
      </c>
      <c r="J539" s="7">
        <f>IFERROR(F539/E539,0)</f>
        <v/>
      </c>
      <c r="K539" s="7">
        <f>IFERROR(G539/C539,0)</f>
        <v/>
      </c>
    </row>
    <row r="540">
      <c r="A540" s="2" t="inlineStr">
        <is>
          <t>2026-03-31</t>
        </is>
      </c>
      <c r="B540" s="2" t="inlineStr">
        <is>
          <t>Referral</t>
        </is>
      </c>
      <c r="C540" s="3" t="n">
        <v>63</v>
      </c>
      <c r="D540" s="3" t="n">
        <v>8</v>
      </c>
      <c r="E540" s="3" t="n">
        <v>2</v>
      </c>
      <c r="F540" s="3" t="n">
        <v>0</v>
      </c>
      <c r="G540" s="3" t="n">
        <v>1</v>
      </c>
      <c r="H540" s="4">
        <f>IFERROR(D540/C540,0)</f>
        <v/>
      </c>
      <c r="I540" s="4">
        <f>IFERROR(E540/D540,0)</f>
        <v/>
      </c>
      <c r="J540" s="4">
        <f>IFERROR(F540/E540,0)</f>
        <v/>
      </c>
      <c r="K540" s="4">
        <f>IFERROR(G540/C540,0)</f>
        <v/>
      </c>
    </row>
    <row r="541">
      <c r="A541" s="5" t="inlineStr">
        <is>
          <t>2026-03-31</t>
        </is>
      </c>
      <c r="B541" s="5" t="inlineStr">
        <is>
          <t>Direct</t>
        </is>
      </c>
      <c r="C541" s="6" t="n">
        <v>22</v>
      </c>
      <c r="D541" s="6" t="n">
        <v>1</v>
      </c>
      <c r="E541" s="6" t="n">
        <v>0</v>
      </c>
      <c r="F541" s="6" t="n">
        <v>0</v>
      </c>
      <c r="G541" s="6" t="n">
        <v>0</v>
      </c>
      <c r="H541" s="7">
        <f>IFERROR(D541/C541,0)</f>
        <v/>
      </c>
      <c r="I541" s="7">
        <f>IFERROR(E541/D541,0)</f>
        <v/>
      </c>
      <c r="J541" s="7">
        <f>IFERROR(F541/E541,0)</f>
        <v/>
      </c>
      <c r="K541" s="7">
        <f>IFERROR(G541/C541,0)</f>
        <v/>
      </c>
    </row>
    <row r="542">
      <c r="A542" s="2" t="inlineStr">
        <is>
          <t>2026-04-01</t>
        </is>
      </c>
      <c r="B542" s="2" t="inlineStr">
        <is>
          <t>Google Ads</t>
        </is>
      </c>
      <c r="C542" s="3" t="n">
        <v>175</v>
      </c>
      <c r="D542" s="3" t="n">
        <v>16</v>
      </c>
      <c r="E542" s="3" t="n">
        <v>4</v>
      </c>
      <c r="F542" s="3" t="n">
        <v>1</v>
      </c>
      <c r="G542" s="3" t="n">
        <v>0</v>
      </c>
      <c r="H542" s="4">
        <f>IFERROR(D542/C542,0)</f>
        <v/>
      </c>
      <c r="I542" s="4">
        <f>IFERROR(E542/D542,0)</f>
        <v/>
      </c>
      <c r="J542" s="4">
        <f>IFERROR(F542/E542,0)</f>
        <v/>
      </c>
      <c r="K542" s="4">
        <f>IFERROR(G542/C542,0)</f>
        <v/>
      </c>
    </row>
    <row r="543">
      <c r="A543" s="5" t="inlineStr">
        <is>
          <t>2026-04-01</t>
        </is>
      </c>
      <c r="B543" s="5" t="inlineStr">
        <is>
          <t>Facebook Ads</t>
        </is>
      </c>
      <c r="C543" s="6" t="n">
        <v>191</v>
      </c>
      <c r="D543" s="6" t="n">
        <v>5</v>
      </c>
      <c r="E543" s="6" t="n">
        <v>1</v>
      </c>
      <c r="F543" s="6" t="n">
        <v>0</v>
      </c>
      <c r="G543" s="6" t="n">
        <v>0</v>
      </c>
      <c r="H543" s="7">
        <f>IFERROR(D543/C543,0)</f>
        <v/>
      </c>
      <c r="I543" s="7">
        <f>IFERROR(E543/D543,0)</f>
        <v/>
      </c>
      <c r="J543" s="7">
        <f>IFERROR(F543/E543,0)</f>
        <v/>
      </c>
      <c r="K543" s="7">
        <f>IFERROR(G543/C543,0)</f>
        <v/>
      </c>
    </row>
    <row r="544">
      <c r="A544" s="2" t="inlineStr">
        <is>
          <t>2026-04-01</t>
        </is>
      </c>
      <c r="B544" s="2" t="inlineStr">
        <is>
          <t>Organic SEO</t>
        </is>
      </c>
      <c r="C544" s="3" t="n">
        <v>198</v>
      </c>
      <c r="D544" s="3" t="n">
        <v>18</v>
      </c>
      <c r="E544" s="3" t="n">
        <v>4</v>
      </c>
      <c r="F544" s="3" t="n">
        <v>1</v>
      </c>
      <c r="G544" s="3" t="n">
        <v>1</v>
      </c>
      <c r="H544" s="4">
        <f>IFERROR(D544/C544,0)</f>
        <v/>
      </c>
      <c r="I544" s="4">
        <f>IFERROR(E544/D544,0)</f>
        <v/>
      </c>
      <c r="J544" s="4">
        <f>IFERROR(F544/E544,0)</f>
        <v/>
      </c>
      <c r="K544" s="4">
        <f>IFERROR(G544/C544,0)</f>
        <v/>
      </c>
    </row>
    <row r="545">
      <c r="A545" s="5" t="inlineStr">
        <is>
          <t>2026-04-01</t>
        </is>
      </c>
      <c r="B545" s="5" t="inlineStr">
        <is>
          <t>Email</t>
        </is>
      </c>
      <c r="C545" s="6" t="n">
        <v>121</v>
      </c>
      <c r="D545" s="6" t="n">
        <v>16</v>
      </c>
      <c r="E545" s="6" t="n">
        <v>4</v>
      </c>
      <c r="F545" s="6" t="n">
        <v>1</v>
      </c>
      <c r="G545" s="6" t="n">
        <v>2</v>
      </c>
      <c r="H545" s="7">
        <f>IFERROR(D545/C545,0)</f>
        <v/>
      </c>
      <c r="I545" s="7">
        <f>IFERROR(E545/D545,0)</f>
        <v/>
      </c>
      <c r="J545" s="7">
        <f>IFERROR(F545/E545,0)</f>
        <v/>
      </c>
      <c r="K545" s="7">
        <f>IFERROR(G545/C545,0)</f>
        <v/>
      </c>
    </row>
    <row r="546">
      <c r="A546" s="2" t="inlineStr">
        <is>
          <t>2026-04-01</t>
        </is>
      </c>
      <c r="B546" s="2" t="inlineStr">
        <is>
          <t>Referral</t>
        </is>
      </c>
      <c r="C546" s="3" t="n">
        <v>78</v>
      </c>
      <c r="D546" s="3" t="n">
        <v>13</v>
      </c>
      <c r="E546" s="3" t="n">
        <v>3</v>
      </c>
      <c r="F546" s="3" t="n">
        <v>1</v>
      </c>
      <c r="G546" s="3" t="n">
        <v>1</v>
      </c>
      <c r="H546" s="4">
        <f>IFERROR(D546/C546,0)</f>
        <v/>
      </c>
      <c r="I546" s="4">
        <f>IFERROR(E546/D546,0)</f>
        <v/>
      </c>
      <c r="J546" s="4">
        <f>IFERROR(F546/E546,0)</f>
        <v/>
      </c>
      <c r="K546" s="4">
        <f>IFERROR(G546/C546,0)</f>
        <v/>
      </c>
    </row>
    <row r="547">
      <c r="A547" s="5" t="inlineStr">
        <is>
          <t>2026-04-01</t>
        </is>
      </c>
      <c r="B547" s="5" t="inlineStr">
        <is>
          <t>Direct</t>
        </is>
      </c>
      <c r="C547" s="6" t="n">
        <v>10</v>
      </c>
      <c r="D547" s="6" t="n">
        <v>0</v>
      </c>
      <c r="E547" s="6" t="n">
        <v>0</v>
      </c>
      <c r="F547" s="6" t="n">
        <v>0</v>
      </c>
      <c r="G547" s="6" t="n">
        <v>0</v>
      </c>
      <c r="H547" s="7">
        <f>IFERROR(D547/C547,0)</f>
        <v/>
      </c>
      <c r="I547" s="7">
        <f>IFERROR(E547/D547,0)</f>
        <v/>
      </c>
      <c r="J547" s="7">
        <f>IFERROR(F547/E547,0)</f>
        <v/>
      </c>
      <c r="K547" s="7">
        <f>IFERROR(G547/C547,0)</f>
        <v/>
      </c>
    </row>
    <row r="548">
      <c r="A548" s="2" t="inlineStr">
        <is>
          <t>2026-04-02</t>
        </is>
      </c>
      <c r="B548" s="2" t="inlineStr">
        <is>
          <t>Google Ads</t>
        </is>
      </c>
      <c r="C548" s="3" t="n">
        <v>221</v>
      </c>
      <c r="D548" s="3" t="n">
        <v>19</v>
      </c>
      <c r="E548" s="3" t="n">
        <v>4</v>
      </c>
      <c r="F548" s="3" t="n">
        <v>1</v>
      </c>
      <c r="G548" s="3" t="n">
        <v>1</v>
      </c>
      <c r="H548" s="4">
        <f>IFERROR(D548/C548,0)</f>
        <v/>
      </c>
      <c r="I548" s="4">
        <f>IFERROR(E548/D548,0)</f>
        <v/>
      </c>
      <c r="J548" s="4">
        <f>IFERROR(F548/E548,0)</f>
        <v/>
      </c>
      <c r="K548" s="4">
        <f>IFERROR(G548/C548,0)</f>
        <v/>
      </c>
    </row>
    <row r="549">
      <c r="A549" s="5" t="inlineStr">
        <is>
          <t>2026-04-02</t>
        </is>
      </c>
      <c r="B549" s="5" t="inlineStr">
        <is>
          <t>Facebook Ads</t>
        </is>
      </c>
      <c r="C549" s="6" t="n">
        <v>127</v>
      </c>
      <c r="D549" s="6" t="n">
        <v>6</v>
      </c>
      <c r="E549" s="6" t="n">
        <v>1</v>
      </c>
      <c r="F549" s="6" t="n">
        <v>0</v>
      </c>
      <c r="G549" s="6" t="n">
        <v>0</v>
      </c>
      <c r="H549" s="7">
        <f>IFERROR(D549/C549,0)</f>
        <v/>
      </c>
      <c r="I549" s="7">
        <f>IFERROR(E549/D549,0)</f>
        <v/>
      </c>
      <c r="J549" s="7">
        <f>IFERROR(F549/E549,0)</f>
        <v/>
      </c>
      <c r="K549" s="7">
        <f>IFERROR(G549/C549,0)</f>
        <v/>
      </c>
    </row>
    <row r="550">
      <c r="A550" s="2" t="inlineStr">
        <is>
          <t>2026-04-02</t>
        </is>
      </c>
      <c r="B550" s="2" t="inlineStr">
        <is>
          <t>Organic SEO</t>
        </is>
      </c>
      <c r="C550" s="3" t="n">
        <v>216</v>
      </c>
      <c r="D550" s="3" t="n">
        <v>18</v>
      </c>
      <c r="E550" s="3" t="n">
        <v>4</v>
      </c>
      <c r="F550" s="3" t="n">
        <v>1</v>
      </c>
      <c r="G550" s="3" t="n">
        <v>1</v>
      </c>
      <c r="H550" s="4">
        <f>IFERROR(D550/C550,0)</f>
        <v/>
      </c>
      <c r="I550" s="4">
        <f>IFERROR(E550/D550,0)</f>
        <v/>
      </c>
      <c r="J550" s="4">
        <f>IFERROR(F550/E550,0)</f>
        <v/>
      </c>
      <c r="K550" s="4">
        <f>IFERROR(G550/C550,0)</f>
        <v/>
      </c>
    </row>
    <row r="551">
      <c r="A551" s="5" t="inlineStr">
        <is>
          <t>2026-04-02</t>
        </is>
      </c>
      <c r="B551" s="5" t="inlineStr">
        <is>
          <t>Email</t>
        </is>
      </c>
      <c r="C551" s="6" t="n">
        <v>83</v>
      </c>
      <c r="D551" s="6" t="n">
        <v>12</v>
      </c>
      <c r="E551" s="6" t="n">
        <v>2</v>
      </c>
      <c r="F551" s="6" t="n">
        <v>0</v>
      </c>
      <c r="G551" s="6" t="n">
        <v>1</v>
      </c>
      <c r="H551" s="7">
        <f>IFERROR(D551/C551,0)</f>
        <v/>
      </c>
      <c r="I551" s="7">
        <f>IFERROR(E551/D551,0)</f>
        <v/>
      </c>
      <c r="J551" s="7">
        <f>IFERROR(F551/E551,0)</f>
        <v/>
      </c>
      <c r="K551" s="7">
        <f>IFERROR(G551/C551,0)</f>
        <v/>
      </c>
    </row>
    <row r="552">
      <c r="A552" s="2" t="inlineStr">
        <is>
          <t>2026-04-02</t>
        </is>
      </c>
      <c r="B552" s="2" t="inlineStr">
        <is>
          <t>Referral</t>
        </is>
      </c>
      <c r="C552" s="3" t="n">
        <v>48</v>
      </c>
      <c r="D552" s="3" t="n">
        <v>5</v>
      </c>
      <c r="E552" s="3" t="n">
        <v>1</v>
      </c>
      <c r="F552" s="3" t="n">
        <v>0</v>
      </c>
      <c r="G552" s="3" t="n">
        <v>0</v>
      </c>
      <c r="H552" s="4">
        <f>IFERROR(D552/C552,0)</f>
        <v/>
      </c>
      <c r="I552" s="4">
        <f>IFERROR(E552/D552,0)</f>
        <v/>
      </c>
      <c r="J552" s="4">
        <f>IFERROR(F552/E552,0)</f>
        <v/>
      </c>
      <c r="K552" s="4">
        <f>IFERROR(G552/C552,0)</f>
        <v/>
      </c>
    </row>
    <row r="553">
      <c r="A553" s="5" t="inlineStr">
        <is>
          <t>2026-04-02</t>
        </is>
      </c>
      <c r="B553" s="5" t="inlineStr">
        <is>
          <t>Direct</t>
        </is>
      </c>
      <c r="C553" s="6" t="n">
        <v>64</v>
      </c>
      <c r="D553" s="6" t="n">
        <v>3</v>
      </c>
      <c r="E553" s="6" t="n">
        <v>0</v>
      </c>
      <c r="F553" s="6" t="n">
        <v>0</v>
      </c>
      <c r="G553" s="6" t="n">
        <v>0</v>
      </c>
      <c r="H553" s="7">
        <f>IFERROR(D553/C553,0)</f>
        <v/>
      </c>
      <c r="I553" s="7">
        <f>IFERROR(E553/D553,0)</f>
        <v/>
      </c>
      <c r="J553" s="7">
        <f>IFERROR(F553/E553,0)</f>
        <v/>
      </c>
      <c r="K553" s="7">
        <f>IFERROR(G553/C553,0)</f>
        <v/>
      </c>
    </row>
    <row r="554">
      <c r="A554" s="2" t="inlineStr">
        <is>
          <t>2026-04-03</t>
        </is>
      </c>
      <c r="B554" s="2" t="inlineStr">
        <is>
          <t>Google Ads</t>
        </is>
      </c>
      <c r="C554" s="3" t="n">
        <v>160</v>
      </c>
      <c r="D554" s="3" t="n">
        <v>15</v>
      </c>
      <c r="E554" s="3" t="n">
        <v>3</v>
      </c>
      <c r="F554" s="3" t="n">
        <v>1</v>
      </c>
      <c r="G554" s="3" t="n">
        <v>1</v>
      </c>
      <c r="H554" s="4">
        <f>IFERROR(D554/C554,0)</f>
        <v/>
      </c>
      <c r="I554" s="4">
        <f>IFERROR(E554/D554,0)</f>
        <v/>
      </c>
      <c r="J554" s="4">
        <f>IFERROR(F554/E554,0)</f>
        <v/>
      </c>
      <c r="K554" s="4">
        <f>IFERROR(G554/C554,0)</f>
        <v/>
      </c>
    </row>
    <row r="555">
      <c r="A555" s="5" t="inlineStr">
        <is>
          <t>2026-04-03</t>
        </is>
      </c>
      <c r="B555" s="5" t="inlineStr">
        <is>
          <t>Facebook Ads</t>
        </is>
      </c>
      <c r="C555" s="6" t="n">
        <v>110</v>
      </c>
      <c r="D555" s="6" t="n">
        <v>3</v>
      </c>
      <c r="E555" s="6" t="n">
        <v>0</v>
      </c>
      <c r="F555" s="6" t="n">
        <v>0</v>
      </c>
      <c r="G555" s="6" t="n">
        <v>0</v>
      </c>
      <c r="H555" s="7">
        <f>IFERROR(D555/C555,0)</f>
        <v/>
      </c>
      <c r="I555" s="7">
        <f>IFERROR(E555/D555,0)</f>
        <v/>
      </c>
      <c r="J555" s="7">
        <f>IFERROR(F555/E555,0)</f>
        <v/>
      </c>
      <c r="K555" s="7">
        <f>IFERROR(G555/C555,0)</f>
        <v/>
      </c>
    </row>
    <row r="556">
      <c r="A556" s="2" t="inlineStr">
        <is>
          <t>2026-04-03</t>
        </is>
      </c>
      <c r="B556" s="2" t="inlineStr">
        <is>
          <t>Organic SEO</t>
        </is>
      </c>
      <c r="C556" s="3" t="n">
        <v>219</v>
      </c>
      <c r="D556" s="3" t="n">
        <v>21</v>
      </c>
      <c r="E556" s="3" t="n">
        <v>5</v>
      </c>
      <c r="F556" s="3" t="n">
        <v>1</v>
      </c>
      <c r="G556" s="3" t="n">
        <v>1</v>
      </c>
      <c r="H556" s="4">
        <f>IFERROR(D556/C556,0)</f>
        <v/>
      </c>
      <c r="I556" s="4">
        <f>IFERROR(E556/D556,0)</f>
        <v/>
      </c>
      <c r="J556" s="4">
        <f>IFERROR(F556/E556,0)</f>
        <v/>
      </c>
      <c r="K556" s="4">
        <f>IFERROR(G556/C556,0)</f>
        <v/>
      </c>
    </row>
    <row r="557">
      <c r="A557" s="5" t="inlineStr">
        <is>
          <t>2026-04-03</t>
        </is>
      </c>
      <c r="B557" s="5" t="inlineStr">
        <is>
          <t>Email</t>
        </is>
      </c>
      <c r="C557" s="6" t="n">
        <v>52</v>
      </c>
      <c r="D557" s="6" t="n">
        <v>5</v>
      </c>
      <c r="E557" s="6" t="n">
        <v>1</v>
      </c>
      <c r="F557" s="6" t="n">
        <v>0</v>
      </c>
      <c r="G557" s="6" t="n">
        <v>0</v>
      </c>
      <c r="H557" s="7">
        <f>IFERROR(D557/C557,0)</f>
        <v/>
      </c>
      <c r="I557" s="7">
        <f>IFERROR(E557/D557,0)</f>
        <v/>
      </c>
      <c r="J557" s="7">
        <f>IFERROR(F557/E557,0)</f>
        <v/>
      </c>
      <c r="K557" s="7">
        <f>IFERROR(G557/C557,0)</f>
        <v/>
      </c>
    </row>
    <row r="558">
      <c r="A558" s="2" t="inlineStr">
        <is>
          <t>2026-04-03</t>
        </is>
      </c>
      <c r="B558" s="2" t="inlineStr">
        <is>
          <t>Referral</t>
        </is>
      </c>
      <c r="C558" s="3" t="n">
        <v>77</v>
      </c>
      <c r="D558" s="3" t="n">
        <v>11</v>
      </c>
      <c r="E558" s="3" t="n">
        <v>2</v>
      </c>
      <c r="F558" s="3" t="n">
        <v>0</v>
      </c>
      <c r="G558" s="3" t="n">
        <v>1</v>
      </c>
      <c r="H558" s="4">
        <f>IFERROR(D558/C558,0)</f>
        <v/>
      </c>
      <c r="I558" s="4">
        <f>IFERROR(E558/D558,0)</f>
        <v/>
      </c>
      <c r="J558" s="4">
        <f>IFERROR(F558/E558,0)</f>
        <v/>
      </c>
      <c r="K558" s="4">
        <f>IFERROR(G558/C558,0)</f>
        <v/>
      </c>
    </row>
    <row r="559">
      <c r="A559" s="5" t="inlineStr">
        <is>
          <t>2026-04-03</t>
        </is>
      </c>
      <c r="B559" s="5" t="inlineStr">
        <is>
          <t>Direct</t>
        </is>
      </c>
      <c r="C559" s="6" t="n">
        <v>64</v>
      </c>
      <c r="D559" s="6" t="n">
        <v>4</v>
      </c>
      <c r="E559" s="6" t="n">
        <v>0</v>
      </c>
      <c r="F559" s="6" t="n">
        <v>0</v>
      </c>
      <c r="G559" s="6" t="n">
        <v>0</v>
      </c>
      <c r="H559" s="7">
        <f>IFERROR(D559/C559,0)</f>
        <v/>
      </c>
      <c r="I559" s="7">
        <f>IFERROR(E559/D559,0)</f>
        <v/>
      </c>
      <c r="J559" s="7">
        <f>IFERROR(F559/E559,0)</f>
        <v/>
      </c>
      <c r="K559" s="7">
        <f>IFERROR(G559/C559,0)</f>
        <v/>
      </c>
    </row>
    <row r="560">
      <c r="A560" s="2" t="inlineStr">
        <is>
          <t>2026-04-04</t>
        </is>
      </c>
      <c r="B560" s="2" t="inlineStr">
        <is>
          <t>Google Ads</t>
        </is>
      </c>
      <c r="C560" s="3" t="n">
        <v>153</v>
      </c>
      <c r="D560" s="3" t="n">
        <v>9</v>
      </c>
      <c r="E560" s="3" t="n">
        <v>2</v>
      </c>
      <c r="F560" s="3" t="n">
        <v>0</v>
      </c>
      <c r="G560" s="3" t="n">
        <v>0</v>
      </c>
      <c r="H560" s="4">
        <f>IFERROR(D560/C560,0)</f>
        <v/>
      </c>
      <c r="I560" s="4">
        <f>IFERROR(E560/D560,0)</f>
        <v/>
      </c>
      <c r="J560" s="4">
        <f>IFERROR(F560/E560,0)</f>
        <v/>
      </c>
      <c r="K560" s="4">
        <f>IFERROR(G560/C560,0)</f>
        <v/>
      </c>
    </row>
    <row r="561">
      <c r="A561" s="5" t="inlineStr">
        <is>
          <t>2026-04-04</t>
        </is>
      </c>
      <c r="B561" s="5" t="inlineStr">
        <is>
          <t>Facebook Ads</t>
        </is>
      </c>
      <c r="C561" s="6" t="n">
        <v>196</v>
      </c>
      <c r="D561" s="6" t="n">
        <v>9</v>
      </c>
      <c r="E561" s="6" t="n">
        <v>2</v>
      </c>
      <c r="F561" s="6" t="n">
        <v>0</v>
      </c>
      <c r="G561" s="6" t="n">
        <v>0</v>
      </c>
      <c r="H561" s="7">
        <f>IFERROR(D561/C561,0)</f>
        <v/>
      </c>
      <c r="I561" s="7">
        <f>IFERROR(E561/D561,0)</f>
        <v/>
      </c>
      <c r="J561" s="7">
        <f>IFERROR(F561/E561,0)</f>
        <v/>
      </c>
      <c r="K561" s="7">
        <f>IFERROR(G561/C561,0)</f>
        <v/>
      </c>
    </row>
    <row r="562">
      <c r="A562" s="2" t="inlineStr">
        <is>
          <t>2026-04-04</t>
        </is>
      </c>
      <c r="B562" s="2" t="inlineStr">
        <is>
          <t>Organic SEO</t>
        </is>
      </c>
      <c r="C562" s="3" t="n">
        <v>252</v>
      </c>
      <c r="D562" s="3" t="n">
        <v>17</v>
      </c>
      <c r="E562" s="3" t="n">
        <v>4</v>
      </c>
      <c r="F562" s="3" t="n">
        <v>1</v>
      </c>
      <c r="G562" s="3" t="n">
        <v>1</v>
      </c>
      <c r="H562" s="4">
        <f>IFERROR(D562/C562,0)</f>
        <v/>
      </c>
      <c r="I562" s="4">
        <f>IFERROR(E562/D562,0)</f>
        <v/>
      </c>
      <c r="J562" s="4">
        <f>IFERROR(F562/E562,0)</f>
        <v/>
      </c>
      <c r="K562" s="4">
        <f>IFERROR(G562/C562,0)</f>
        <v/>
      </c>
    </row>
    <row r="563">
      <c r="A563" s="5" t="inlineStr">
        <is>
          <t>2026-04-04</t>
        </is>
      </c>
      <c r="B563" s="5" t="inlineStr">
        <is>
          <t>Email</t>
        </is>
      </c>
      <c r="C563" s="6" t="n">
        <v>120</v>
      </c>
      <c r="D563" s="6" t="n">
        <v>16</v>
      </c>
      <c r="E563" s="6" t="n">
        <v>4</v>
      </c>
      <c r="F563" s="6" t="n">
        <v>1</v>
      </c>
      <c r="G563" s="6" t="n">
        <v>2</v>
      </c>
      <c r="H563" s="7">
        <f>IFERROR(D563/C563,0)</f>
        <v/>
      </c>
      <c r="I563" s="7">
        <f>IFERROR(E563/D563,0)</f>
        <v/>
      </c>
      <c r="J563" s="7">
        <f>IFERROR(F563/E563,0)</f>
        <v/>
      </c>
      <c r="K563" s="7">
        <f>IFERROR(G563/C563,0)</f>
        <v/>
      </c>
    </row>
    <row r="564">
      <c r="A564" s="2" t="inlineStr">
        <is>
          <t>2026-04-04</t>
        </is>
      </c>
      <c r="B564" s="2" t="inlineStr">
        <is>
          <t>Referral</t>
        </is>
      </c>
      <c r="C564" s="3" t="n">
        <v>17</v>
      </c>
      <c r="D564" s="3" t="n">
        <v>2</v>
      </c>
      <c r="E564" s="3" t="n">
        <v>0</v>
      </c>
      <c r="F564" s="3" t="n">
        <v>0</v>
      </c>
      <c r="G564" s="3" t="n">
        <v>0</v>
      </c>
      <c r="H564" s="4">
        <f>IFERROR(D564/C564,0)</f>
        <v/>
      </c>
      <c r="I564" s="4">
        <f>IFERROR(E564/D564,0)</f>
        <v/>
      </c>
      <c r="J564" s="4">
        <f>IFERROR(F564/E564,0)</f>
        <v/>
      </c>
      <c r="K564" s="4">
        <f>IFERROR(G564/C564,0)</f>
        <v/>
      </c>
    </row>
    <row r="565">
      <c r="A565" s="5" t="inlineStr">
        <is>
          <t>2026-04-04</t>
        </is>
      </c>
      <c r="B565" s="5" t="inlineStr">
        <is>
          <t>Direct</t>
        </is>
      </c>
      <c r="C565" s="6" t="n">
        <v>59</v>
      </c>
      <c r="D565" s="6" t="n">
        <v>3</v>
      </c>
      <c r="E565" s="6" t="n">
        <v>0</v>
      </c>
      <c r="F565" s="6" t="n">
        <v>0</v>
      </c>
      <c r="G565" s="6" t="n">
        <v>0</v>
      </c>
      <c r="H565" s="7">
        <f>IFERROR(D565/C565,0)</f>
        <v/>
      </c>
      <c r="I565" s="7">
        <f>IFERROR(E565/D565,0)</f>
        <v/>
      </c>
      <c r="J565" s="7">
        <f>IFERROR(F565/E565,0)</f>
        <v/>
      </c>
      <c r="K565" s="7">
        <f>IFERROR(G565/C565,0)</f>
        <v/>
      </c>
    </row>
    <row r="566">
      <c r="A566" s="2" t="inlineStr">
        <is>
          <t>2026-04-05</t>
        </is>
      </c>
      <c r="B566" s="2" t="inlineStr">
        <is>
          <t>Google Ads</t>
        </is>
      </c>
      <c r="C566" s="3" t="n">
        <v>222</v>
      </c>
      <c r="D566" s="3" t="n">
        <v>14</v>
      </c>
      <c r="E566" s="3" t="n">
        <v>3</v>
      </c>
      <c r="F566" s="3" t="n">
        <v>1</v>
      </c>
      <c r="G566" s="3" t="n">
        <v>0</v>
      </c>
      <c r="H566" s="4">
        <f>IFERROR(D566/C566,0)</f>
        <v/>
      </c>
      <c r="I566" s="4">
        <f>IFERROR(E566/D566,0)</f>
        <v/>
      </c>
      <c r="J566" s="4">
        <f>IFERROR(F566/E566,0)</f>
        <v/>
      </c>
      <c r="K566" s="4">
        <f>IFERROR(G566/C566,0)</f>
        <v/>
      </c>
    </row>
    <row r="567">
      <c r="A567" s="5" t="inlineStr">
        <is>
          <t>2026-04-05</t>
        </is>
      </c>
      <c r="B567" s="5" t="inlineStr">
        <is>
          <t>Facebook Ads</t>
        </is>
      </c>
      <c r="C567" s="6" t="n">
        <v>199</v>
      </c>
      <c r="D567" s="6" t="n">
        <v>9</v>
      </c>
      <c r="E567" s="6" t="n">
        <v>2</v>
      </c>
      <c r="F567" s="6" t="n">
        <v>0</v>
      </c>
      <c r="G567" s="6" t="n">
        <v>0</v>
      </c>
      <c r="H567" s="7">
        <f>IFERROR(D567/C567,0)</f>
        <v/>
      </c>
      <c r="I567" s="7">
        <f>IFERROR(E567/D567,0)</f>
        <v/>
      </c>
      <c r="J567" s="7">
        <f>IFERROR(F567/E567,0)</f>
        <v/>
      </c>
      <c r="K567" s="7">
        <f>IFERROR(G567/C567,0)</f>
        <v/>
      </c>
    </row>
    <row r="568">
      <c r="A568" s="2" t="inlineStr">
        <is>
          <t>2026-04-05</t>
        </is>
      </c>
      <c r="B568" s="2" t="inlineStr">
        <is>
          <t>Organic SEO</t>
        </is>
      </c>
      <c r="C568" s="3" t="n">
        <v>206</v>
      </c>
      <c r="D568" s="3" t="n">
        <v>18</v>
      </c>
      <c r="E568" s="3" t="n">
        <v>5</v>
      </c>
      <c r="F568" s="3" t="n">
        <v>1</v>
      </c>
      <c r="G568" s="3" t="n">
        <v>1</v>
      </c>
      <c r="H568" s="4">
        <f>IFERROR(D568/C568,0)</f>
        <v/>
      </c>
      <c r="I568" s="4">
        <f>IFERROR(E568/D568,0)</f>
        <v/>
      </c>
      <c r="J568" s="4">
        <f>IFERROR(F568/E568,0)</f>
        <v/>
      </c>
      <c r="K568" s="4">
        <f>IFERROR(G568/C568,0)</f>
        <v/>
      </c>
    </row>
    <row r="569">
      <c r="A569" s="5" t="inlineStr">
        <is>
          <t>2026-04-05</t>
        </is>
      </c>
      <c r="B569" s="5" t="inlineStr">
        <is>
          <t>Email</t>
        </is>
      </c>
      <c r="C569" s="6" t="n">
        <v>46</v>
      </c>
      <c r="D569" s="6" t="n">
        <v>6</v>
      </c>
      <c r="E569" s="6" t="n">
        <v>1</v>
      </c>
      <c r="F569" s="6" t="n">
        <v>0</v>
      </c>
      <c r="G569" s="6" t="n">
        <v>0</v>
      </c>
      <c r="H569" s="7">
        <f>IFERROR(D569/C569,0)</f>
        <v/>
      </c>
      <c r="I569" s="7">
        <f>IFERROR(E569/D569,0)</f>
        <v/>
      </c>
      <c r="J569" s="7">
        <f>IFERROR(F569/E569,0)</f>
        <v/>
      </c>
      <c r="K569" s="7">
        <f>IFERROR(G569/C569,0)</f>
        <v/>
      </c>
    </row>
    <row r="570">
      <c r="A570" s="2" t="inlineStr">
        <is>
          <t>2026-04-05</t>
        </is>
      </c>
      <c r="B570" s="2" t="inlineStr">
        <is>
          <t>Referral</t>
        </is>
      </c>
      <c r="C570" s="3" t="n">
        <v>20</v>
      </c>
      <c r="D570" s="3" t="n">
        <v>2</v>
      </c>
      <c r="E570" s="3" t="n">
        <v>0</v>
      </c>
      <c r="F570" s="3" t="n">
        <v>0</v>
      </c>
      <c r="G570" s="3" t="n">
        <v>0</v>
      </c>
      <c r="H570" s="4">
        <f>IFERROR(D570/C570,0)</f>
        <v/>
      </c>
      <c r="I570" s="4">
        <f>IFERROR(E570/D570,0)</f>
        <v/>
      </c>
      <c r="J570" s="4">
        <f>IFERROR(F570/E570,0)</f>
        <v/>
      </c>
      <c r="K570" s="4">
        <f>IFERROR(G570/C570,0)</f>
        <v/>
      </c>
    </row>
    <row r="571">
      <c r="A571" s="5" t="inlineStr">
        <is>
          <t>2026-04-05</t>
        </is>
      </c>
      <c r="B571" s="5" t="inlineStr">
        <is>
          <t>Direct</t>
        </is>
      </c>
      <c r="C571" s="6" t="n">
        <v>56</v>
      </c>
      <c r="D571" s="6" t="n">
        <v>4</v>
      </c>
      <c r="E571" s="6" t="n">
        <v>1</v>
      </c>
      <c r="F571" s="6" t="n">
        <v>0</v>
      </c>
      <c r="G571" s="6" t="n">
        <v>0</v>
      </c>
      <c r="H571" s="7">
        <f>IFERROR(D571/C571,0)</f>
        <v/>
      </c>
      <c r="I571" s="7">
        <f>IFERROR(E571/D571,0)</f>
        <v/>
      </c>
      <c r="J571" s="7">
        <f>IFERROR(F571/E571,0)</f>
        <v/>
      </c>
      <c r="K571" s="7">
        <f>IFERROR(G571/C571,0)</f>
        <v/>
      </c>
    </row>
    <row r="572">
      <c r="A572" s="2" t="inlineStr">
        <is>
          <t>2026-04-06</t>
        </is>
      </c>
      <c r="B572" s="2" t="inlineStr">
        <is>
          <t>Google Ads</t>
        </is>
      </c>
      <c r="C572" s="3" t="n">
        <v>186</v>
      </c>
      <c r="D572" s="3" t="n">
        <v>15</v>
      </c>
      <c r="E572" s="3" t="n">
        <v>3</v>
      </c>
      <c r="F572" s="3" t="n">
        <v>1</v>
      </c>
      <c r="G572" s="3" t="n">
        <v>0</v>
      </c>
      <c r="H572" s="4">
        <f>IFERROR(D572/C572,0)</f>
        <v/>
      </c>
      <c r="I572" s="4">
        <f>IFERROR(E572/D572,0)</f>
        <v/>
      </c>
      <c r="J572" s="4">
        <f>IFERROR(F572/E572,0)</f>
        <v/>
      </c>
      <c r="K572" s="4">
        <f>IFERROR(G572/C572,0)</f>
        <v/>
      </c>
    </row>
    <row r="573">
      <c r="A573" s="5" t="inlineStr">
        <is>
          <t>2026-04-06</t>
        </is>
      </c>
      <c r="B573" s="5" t="inlineStr">
        <is>
          <t>Facebook Ads</t>
        </is>
      </c>
      <c r="C573" s="6" t="n">
        <v>109</v>
      </c>
      <c r="D573" s="6" t="n">
        <v>2</v>
      </c>
      <c r="E573" s="6" t="n">
        <v>0</v>
      </c>
      <c r="F573" s="6" t="n">
        <v>0</v>
      </c>
      <c r="G573" s="6" t="n">
        <v>0</v>
      </c>
      <c r="H573" s="7">
        <f>IFERROR(D573/C573,0)</f>
        <v/>
      </c>
      <c r="I573" s="7">
        <f>IFERROR(E573/D573,0)</f>
        <v/>
      </c>
      <c r="J573" s="7">
        <f>IFERROR(F573/E573,0)</f>
        <v/>
      </c>
      <c r="K573" s="7">
        <f>IFERROR(G573/C573,0)</f>
        <v/>
      </c>
    </row>
    <row r="574">
      <c r="A574" s="2" t="inlineStr">
        <is>
          <t>2026-04-06</t>
        </is>
      </c>
      <c r="B574" s="2" t="inlineStr">
        <is>
          <t>Organic SEO</t>
        </is>
      </c>
      <c r="C574" s="3" t="n">
        <v>187</v>
      </c>
      <c r="D574" s="3" t="n">
        <v>20</v>
      </c>
      <c r="E574" s="3" t="n">
        <v>4</v>
      </c>
      <c r="F574" s="3" t="n">
        <v>1</v>
      </c>
      <c r="G574" s="3" t="n">
        <v>1</v>
      </c>
      <c r="H574" s="4">
        <f>IFERROR(D574/C574,0)</f>
        <v/>
      </c>
      <c r="I574" s="4">
        <f>IFERROR(E574/D574,0)</f>
        <v/>
      </c>
      <c r="J574" s="4">
        <f>IFERROR(F574/E574,0)</f>
        <v/>
      </c>
      <c r="K574" s="4">
        <f>IFERROR(G574/C574,0)</f>
        <v/>
      </c>
    </row>
    <row r="575">
      <c r="A575" s="5" t="inlineStr">
        <is>
          <t>2026-04-06</t>
        </is>
      </c>
      <c r="B575" s="5" t="inlineStr">
        <is>
          <t>Email</t>
        </is>
      </c>
      <c r="C575" s="6" t="n">
        <v>138</v>
      </c>
      <c r="D575" s="6" t="n">
        <v>16</v>
      </c>
      <c r="E575" s="6" t="n">
        <v>3</v>
      </c>
      <c r="F575" s="6" t="n">
        <v>1</v>
      </c>
      <c r="G575" s="6" t="n">
        <v>1</v>
      </c>
      <c r="H575" s="7">
        <f>IFERROR(D575/C575,0)</f>
        <v/>
      </c>
      <c r="I575" s="7">
        <f>IFERROR(E575/D575,0)</f>
        <v/>
      </c>
      <c r="J575" s="7">
        <f>IFERROR(F575/E575,0)</f>
        <v/>
      </c>
      <c r="K575" s="7">
        <f>IFERROR(G575/C575,0)</f>
        <v/>
      </c>
    </row>
    <row r="576">
      <c r="A576" s="2" t="inlineStr">
        <is>
          <t>2026-04-06</t>
        </is>
      </c>
      <c r="B576" s="2" t="inlineStr">
        <is>
          <t>Referral</t>
        </is>
      </c>
      <c r="C576" s="3" t="n">
        <v>68</v>
      </c>
      <c r="D576" s="3" t="n">
        <v>8</v>
      </c>
      <c r="E576" s="3" t="n">
        <v>1</v>
      </c>
      <c r="F576" s="3" t="n">
        <v>0</v>
      </c>
      <c r="G576" s="3" t="n">
        <v>0</v>
      </c>
      <c r="H576" s="4">
        <f>IFERROR(D576/C576,0)</f>
        <v/>
      </c>
      <c r="I576" s="4">
        <f>IFERROR(E576/D576,0)</f>
        <v/>
      </c>
      <c r="J576" s="4">
        <f>IFERROR(F576/E576,0)</f>
        <v/>
      </c>
      <c r="K576" s="4">
        <f>IFERROR(G576/C576,0)</f>
        <v/>
      </c>
    </row>
    <row r="577">
      <c r="A577" s="5" t="inlineStr">
        <is>
          <t>2026-04-06</t>
        </is>
      </c>
      <c r="B577" s="5" t="inlineStr">
        <is>
          <t>Direct</t>
        </is>
      </c>
      <c r="C577" s="6" t="n">
        <v>29</v>
      </c>
      <c r="D577" s="6" t="n">
        <v>2</v>
      </c>
      <c r="E577" s="6" t="n">
        <v>0</v>
      </c>
      <c r="F577" s="6" t="n">
        <v>0</v>
      </c>
      <c r="G577" s="6" t="n">
        <v>0</v>
      </c>
      <c r="H577" s="7">
        <f>IFERROR(D577/C577,0)</f>
        <v/>
      </c>
      <c r="I577" s="7">
        <f>IFERROR(E577/D577,0)</f>
        <v/>
      </c>
      <c r="J577" s="7">
        <f>IFERROR(F577/E577,0)</f>
        <v/>
      </c>
      <c r="K577" s="7">
        <f>IFERROR(G577/C577,0)</f>
        <v/>
      </c>
    </row>
    <row r="578">
      <c r="A578" s="2" t="inlineStr">
        <is>
          <t>2026-04-07</t>
        </is>
      </c>
      <c r="B578" s="2" t="inlineStr">
        <is>
          <t>Google Ads</t>
        </is>
      </c>
      <c r="C578" s="3" t="n">
        <v>227</v>
      </c>
      <c r="D578" s="3" t="n">
        <v>19</v>
      </c>
      <c r="E578" s="3" t="n">
        <v>4</v>
      </c>
      <c r="F578" s="3" t="n">
        <v>1</v>
      </c>
      <c r="G578" s="3" t="n">
        <v>0</v>
      </c>
      <c r="H578" s="4">
        <f>IFERROR(D578/C578,0)</f>
        <v/>
      </c>
      <c r="I578" s="4">
        <f>IFERROR(E578/D578,0)</f>
        <v/>
      </c>
      <c r="J578" s="4">
        <f>IFERROR(F578/E578,0)</f>
        <v/>
      </c>
      <c r="K578" s="4">
        <f>IFERROR(G578/C578,0)</f>
        <v/>
      </c>
    </row>
    <row r="579">
      <c r="A579" s="5" t="inlineStr">
        <is>
          <t>2026-04-07</t>
        </is>
      </c>
      <c r="B579" s="5" t="inlineStr">
        <is>
          <t>Facebook Ads</t>
        </is>
      </c>
      <c r="C579" s="6" t="n">
        <v>130</v>
      </c>
      <c r="D579" s="6" t="n">
        <v>2</v>
      </c>
      <c r="E579" s="6" t="n">
        <v>0</v>
      </c>
      <c r="F579" s="6" t="n">
        <v>0</v>
      </c>
      <c r="G579" s="6" t="n">
        <v>0</v>
      </c>
      <c r="H579" s="7">
        <f>IFERROR(D579/C579,0)</f>
        <v/>
      </c>
      <c r="I579" s="7">
        <f>IFERROR(E579/D579,0)</f>
        <v/>
      </c>
      <c r="J579" s="7">
        <f>IFERROR(F579/E579,0)</f>
        <v/>
      </c>
      <c r="K579" s="7">
        <f>IFERROR(G579/C579,0)</f>
        <v/>
      </c>
    </row>
    <row r="580">
      <c r="A580" s="2" t="inlineStr">
        <is>
          <t>2026-04-07</t>
        </is>
      </c>
      <c r="B580" s="2" t="inlineStr">
        <is>
          <t>Organic SEO</t>
        </is>
      </c>
      <c r="C580" s="3" t="n">
        <v>257</v>
      </c>
      <c r="D580" s="3" t="n">
        <v>18</v>
      </c>
      <c r="E580" s="3" t="n">
        <v>4</v>
      </c>
      <c r="F580" s="3" t="n">
        <v>1</v>
      </c>
      <c r="G580" s="3" t="n">
        <v>1</v>
      </c>
      <c r="H580" s="4">
        <f>IFERROR(D580/C580,0)</f>
        <v/>
      </c>
      <c r="I580" s="4">
        <f>IFERROR(E580/D580,0)</f>
        <v/>
      </c>
      <c r="J580" s="4">
        <f>IFERROR(F580/E580,0)</f>
        <v/>
      </c>
      <c r="K580" s="4">
        <f>IFERROR(G580/C580,0)</f>
        <v/>
      </c>
    </row>
    <row r="581">
      <c r="A581" s="5" t="inlineStr">
        <is>
          <t>2026-04-07</t>
        </is>
      </c>
      <c r="B581" s="5" t="inlineStr">
        <is>
          <t>Email</t>
        </is>
      </c>
      <c r="C581" s="6" t="n">
        <v>41</v>
      </c>
      <c r="D581" s="6" t="n">
        <v>5</v>
      </c>
      <c r="E581" s="6" t="n">
        <v>1</v>
      </c>
      <c r="F581" s="6" t="n">
        <v>0</v>
      </c>
      <c r="G581" s="6" t="n">
        <v>0</v>
      </c>
      <c r="H581" s="7">
        <f>IFERROR(D581/C581,0)</f>
        <v/>
      </c>
      <c r="I581" s="7">
        <f>IFERROR(E581/D581,0)</f>
        <v/>
      </c>
      <c r="J581" s="7">
        <f>IFERROR(F581/E581,0)</f>
        <v/>
      </c>
      <c r="K581" s="7">
        <f>IFERROR(G581/C581,0)</f>
        <v/>
      </c>
    </row>
    <row r="582">
      <c r="A582" s="2" t="inlineStr">
        <is>
          <t>2026-04-07</t>
        </is>
      </c>
      <c r="B582" s="2" t="inlineStr">
        <is>
          <t>Referral</t>
        </is>
      </c>
      <c r="C582" s="3" t="n">
        <v>56</v>
      </c>
      <c r="D582" s="3" t="n">
        <v>8</v>
      </c>
      <c r="E582" s="3" t="n">
        <v>1</v>
      </c>
      <c r="F582" s="3" t="n">
        <v>0</v>
      </c>
      <c r="G582" s="3" t="n">
        <v>1</v>
      </c>
      <c r="H582" s="4">
        <f>IFERROR(D582/C582,0)</f>
        <v/>
      </c>
      <c r="I582" s="4">
        <f>IFERROR(E582/D582,0)</f>
        <v/>
      </c>
      <c r="J582" s="4">
        <f>IFERROR(F582/E582,0)</f>
        <v/>
      </c>
      <c r="K582" s="4">
        <f>IFERROR(G582/C582,0)</f>
        <v/>
      </c>
    </row>
    <row r="583">
      <c r="A583" s="5" t="inlineStr">
        <is>
          <t>2026-04-07</t>
        </is>
      </c>
      <c r="B583" s="5" t="inlineStr">
        <is>
          <t>Direct</t>
        </is>
      </c>
      <c r="C583" s="6" t="n">
        <v>105</v>
      </c>
      <c r="D583" s="6" t="n">
        <v>8</v>
      </c>
      <c r="E583" s="6" t="n">
        <v>2</v>
      </c>
      <c r="F583" s="6" t="n">
        <v>0</v>
      </c>
      <c r="G583" s="6" t="n">
        <v>0</v>
      </c>
      <c r="H583" s="7">
        <f>IFERROR(D583/C583,0)</f>
        <v/>
      </c>
      <c r="I583" s="7">
        <f>IFERROR(E583/D583,0)</f>
        <v/>
      </c>
      <c r="J583" s="7">
        <f>IFERROR(F583/E583,0)</f>
        <v/>
      </c>
      <c r="K583" s="7">
        <f>IFERROR(G583/C583,0)</f>
        <v/>
      </c>
    </row>
    <row r="584">
      <c r="A584" s="2" t="inlineStr">
        <is>
          <t>2026-04-08</t>
        </is>
      </c>
      <c r="B584" s="2" t="inlineStr">
        <is>
          <t>Google Ads</t>
        </is>
      </c>
      <c r="C584" s="3" t="n">
        <v>143</v>
      </c>
      <c r="D584" s="3" t="n">
        <v>10</v>
      </c>
      <c r="E584" s="3" t="n">
        <v>2</v>
      </c>
      <c r="F584" s="3" t="n">
        <v>0</v>
      </c>
      <c r="G584" s="3" t="n">
        <v>0</v>
      </c>
      <c r="H584" s="4">
        <f>IFERROR(D584/C584,0)</f>
        <v/>
      </c>
      <c r="I584" s="4">
        <f>IFERROR(E584/D584,0)</f>
        <v/>
      </c>
      <c r="J584" s="4">
        <f>IFERROR(F584/E584,0)</f>
        <v/>
      </c>
      <c r="K584" s="4">
        <f>IFERROR(G584/C584,0)</f>
        <v/>
      </c>
    </row>
    <row r="585">
      <c r="A585" s="5" t="inlineStr">
        <is>
          <t>2026-04-08</t>
        </is>
      </c>
      <c r="B585" s="5" t="inlineStr">
        <is>
          <t>Facebook Ads</t>
        </is>
      </c>
      <c r="C585" s="6" t="n">
        <v>173</v>
      </c>
      <c r="D585" s="6" t="n">
        <v>6</v>
      </c>
      <c r="E585" s="6" t="n">
        <v>1</v>
      </c>
      <c r="F585" s="6" t="n">
        <v>0</v>
      </c>
      <c r="G585" s="6" t="n">
        <v>0</v>
      </c>
      <c r="H585" s="7">
        <f>IFERROR(D585/C585,0)</f>
        <v/>
      </c>
      <c r="I585" s="7">
        <f>IFERROR(E585/D585,0)</f>
        <v/>
      </c>
      <c r="J585" s="7">
        <f>IFERROR(F585/E585,0)</f>
        <v/>
      </c>
      <c r="K585" s="7">
        <f>IFERROR(G585/C585,0)</f>
        <v/>
      </c>
    </row>
    <row r="586">
      <c r="A586" s="2" t="inlineStr">
        <is>
          <t>2026-04-08</t>
        </is>
      </c>
      <c r="B586" s="2" t="inlineStr">
        <is>
          <t>Organic SEO</t>
        </is>
      </c>
      <c r="C586" s="3" t="n">
        <v>252</v>
      </c>
      <c r="D586" s="3" t="n">
        <v>19</v>
      </c>
      <c r="E586" s="3" t="n">
        <v>5</v>
      </c>
      <c r="F586" s="3" t="n">
        <v>2</v>
      </c>
      <c r="G586" s="3" t="n">
        <v>1</v>
      </c>
      <c r="H586" s="4">
        <f>IFERROR(D586/C586,0)</f>
        <v/>
      </c>
      <c r="I586" s="4">
        <f>IFERROR(E586/D586,0)</f>
        <v/>
      </c>
      <c r="J586" s="4">
        <f>IFERROR(F586/E586,0)</f>
        <v/>
      </c>
      <c r="K586" s="4">
        <f>IFERROR(G586/C586,0)</f>
        <v/>
      </c>
    </row>
    <row r="587">
      <c r="A587" s="5" t="inlineStr">
        <is>
          <t>2026-04-08</t>
        </is>
      </c>
      <c r="B587" s="5" t="inlineStr">
        <is>
          <t>Email</t>
        </is>
      </c>
      <c r="C587" s="6" t="n">
        <v>126</v>
      </c>
      <c r="D587" s="6" t="n">
        <v>17</v>
      </c>
      <c r="E587" s="6" t="n">
        <v>4</v>
      </c>
      <c r="F587" s="6" t="n">
        <v>1</v>
      </c>
      <c r="G587" s="6" t="n">
        <v>1</v>
      </c>
      <c r="H587" s="7">
        <f>IFERROR(D587/C587,0)</f>
        <v/>
      </c>
      <c r="I587" s="7">
        <f>IFERROR(E587/D587,0)</f>
        <v/>
      </c>
      <c r="J587" s="7">
        <f>IFERROR(F587/E587,0)</f>
        <v/>
      </c>
      <c r="K587" s="7">
        <f>IFERROR(G587/C587,0)</f>
        <v/>
      </c>
    </row>
    <row r="588">
      <c r="A588" s="2" t="inlineStr">
        <is>
          <t>2026-04-08</t>
        </is>
      </c>
      <c r="B588" s="2" t="inlineStr">
        <is>
          <t>Referral</t>
        </is>
      </c>
      <c r="C588" s="3" t="n">
        <v>10</v>
      </c>
      <c r="D588" s="3" t="n">
        <v>1</v>
      </c>
      <c r="E588" s="3" t="n">
        <v>0</v>
      </c>
      <c r="F588" s="3" t="n">
        <v>0</v>
      </c>
      <c r="G588" s="3" t="n">
        <v>0</v>
      </c>
      <c r="H588" s="4">
        <f>IFERROR(D588/C588,0)</f>
        <v/>
      </c>
      <c r="I588" s="4">
        <f>IFERROR(E588/D588,0)</f>
        <v/>
      </c>
      <c r="J588" s="4">
        <f>IFERROR(F588/E588,0)</f>
        <v/>
      </c>
      <c r="K588" s="4">
        <f>IFERROR(G588/C588,0)</f>
        <v/>
      </c>
    </row>
    <row r="589">
      <c r="A589" s="5" t="inlineStr">
        <is>
          <t>2026-04-08</t>
        </is>
      </c>
      <c r="B589" s="5" t="inlineStr">
        <is>
          <t>Direct</t>
        </is>
      </c>
      <c r="C589" s="6" t="n">
        <v>14</v>
      </c>
      <c r="D589" s="6" t="n">
        <v>1</v>
      </c>
      <c r="E589" s="6" t="n">
        <v>0</v>
      </c>
      <c r="F589" s="6" t="n">
        <v>0</v>
      </c>
      <c r="G589" s="6" t="n">
        <v>0</v>
      </c>
      <c r="H589" s="7">
        <f>IFERROR(D589/C589,0)</f>
        <v/>
      </c>
      <c r="I589" s="7">
        <f>IFERROR(E589/D589,0)</f>
        <v/>
      </c>
      <c r="J589" s="7">
        <f>IFERROR(F589/E589,0)</f>
        <v/>
      </c>
      <c r="K589" s="7">
        <f>IFERROR(G589/C589,0)</f>
        <v/>
      </c>
    </row>
    <row r="590">
      <c r="A590" s="2" t="inlineStr">
        <is>
          <t>2026-04-09</t>
        </is>
      </c>
      <c r="B590" s="2" t="inlineStr">
        <is>
          <t>Google Ads</t>
        </is>
      </c>
      <c r="C590" s="3" t="n">
        <v>181</v>
      </c>
      <c r="D590" s="3" t="n">
        <v>12</v>
      </c>
      <c r="E590" s="3" t="n">
        <v>2</v>
      </c>
      <c r="F590" s="3" t="n">
        <v>0</v>
      </c>
      <c r="G590" s="3" t="n">
        <v>0</v>
      </c>
      <c r="H590" s="4">
        <f>IFERROR(D590/C590,0)</f>
        <v/>
      </c>
      <c r="I590" s="4">
        <f>IFERROR(E590/D590,0)</f>
        <v/>
      </c>
      <c r="J590" s="4">
        <f>IFERROR(F590/E590,0)</f>
        <v/>
      </c>
      <c r="K590" s="4">
        <f>IFERROR(G590/C590,0)</f>
        <v/>
      </c>
    </row>
    <row r="591">
      <c r="A591" s="5" t="inlineStr">
        <is>
          <t>2026-04-09</t>
        </is>
      </c>
      <c r="B591" s="5" t="inlineStr">
        <is>
          <t>Facebook Ads</t>
        </is>
      </c>
      <c r="C591" s="6" t="n">
        <v>173</v>
      </c>
      <c r="D591" s="6" t="n">
        <v>5</v>
      </c>
      <c r="E591" s="6" t="n">
        <v>1</v>
      </c>
      <c r="F591" s="6" t="n">
        <v>0</v>
      </c>
      <c r="G591" s="6" t="n">
        <v>0</v>
      </c>
      <c r="H591" s="7">
        <f>IFERROR(D591/C591,0)</f>
        <v/>
      </c>
      <c r="I591" s="7">
        <f>IFERROR(E591/D591,0)</f>
        <v/>
      </c>
      <c r="J591" s="7">
        <f>IFERROR(F591/E591,0)</f>
        <v/>
      </c>
      <c r="K591" s="7">
        <f>IFERROR(G591/C591,0)</f>
        <v/>
      </c>
    </row>
    <row r="592">
      <c r="A592" s="2" t="inlineStr">
        <is>
          <t>2026-04-09</t>
        </is>
      </c>
      <c r="B592" s="2" t="inlineStr">
        <is>
          <t>Organic SEO</t>
        </is>
      </c>
      <c r="C592" s="3" t="n">
        <v>246</v>
      </c>
      <c r="D592" s="3" t="n">
        <v>26</v>
      </c>
      <c r="E592" s="3" t="n">
        <v>5</v>
      </c>
      <c r="F592" s="3" t="n">
        <v>1</v>
      </c>
      <c r="G592" s="3" t="n">
        <v>2</v>
      </c>
      <c r="H592" s="4">
        <f>IFERROR(D592/C592,0)</f>
        <v/>
      </c>
      <c r="I592" s="4">
        <f>IFERROR(E592/D592,0)</f>
        <v/>
      </c>
      <c r="J592" s="4">
        <f>IFERROR(F592/E592,0)</f>
        <v/>
      </c>
      <c r="K592" s="4">
        <f>IFERROR(G592/C592,0)</f>
        <v/>
      </c>
    </row>
    <row r="593">
      <c r="A593" s="5" t="inlineStr">
        <is>
          <t>2026-04-09</t>
        </is>
      </c>
      <c r="B593" s="5" t="inlineStr">
        <is>
          <t>Email</t>
        </is>
      </c>
      <c r="C593" s="6" t="n">
        <v>76</v>
      </c>
      <c r="D593" s="6" t="n">
        <v>10</v>
      </c>
      <c r="E593" s="6" t="n">
        <v>2</v>
      </c>
      <c r="F593" s="6" t="n">
        <v>0</v>
      </c>
      <c r="G593" s="6" t="n">
        <v>0</v>
      </c>
      <c r="H593" s="7">
        <f>IFERROR(D593/C593,0)</f>
        <v/>
      </c>
      <c r="I593" s="7">
        <f>IFERROR(E593/D593,0)</f>
        <v/>
      </c>
      <c r="J593" s="7">
        <f>IFERROR(F593/E593,0)</f>
        <v/>
      </c>
      <c r="K593" s="7">
        <f>IFERROR(G593/C593,0)</f>
        <v/>
      </c>
    </row>
    <row r="594">
      <c r="A594" s="2" t="inlineStr">
        <is>
          <t>2026-04-09</t>
        </is>
      </c>
      <c r="B594" s="2" t="inlineStr">
        <is>
          <t>Referral</t>
        </is>
      </c>
      <c r="C594" s="3" t="n">
        <v>37</v>
      </c>
      <c r="D594" s="3" t="n">
        <v>4</v>
      </c>
      <c r="E594" s="3" t="n">
        <v>0</v>
      </c>
      <c r="F594" s="3" t="n">
        <v>0</v>
      </c>
      <c r="G594" s="3" t="n">
        <v>0</v>
      </c>
      <c r="H594" s="4">
        <f>IFERROR(D594/C594,0)</f>
        <v/>
      </c>
      <c r="I594" s="4">
        <f>IFERROR(E594/D594,0)</f>
        <v/>
      </c>
      <c r="J594" s="4">
        <f>IFERROR(F594/E594,0)</f>
        <v/>
      </c>
      <c r="K594" s="4">
        <f>IFERROR(G594/C594,0)</f>
        <v/>
      </c>
    </row>
    <row r="595">
      <c r="A595" s="5" t="inlineStr">
        <is>
          <t>2026-04-09</t>
        </is>
      </c>
      <c r="B595" s="5" t="inlineStr">
        <is>
          <t>Direct</t>
        </is>
      </c>
      <c r="C595" s="6" t="n">
        <v>69</v>
      </c>
      <c r="D595" s="6" t="n">
        <v>4</v>
      </c>
      <c r="E595" s="6" t="n">
        <v>1</v>
      </c>
      <c r="F595" s="6" t="n">
        <v>0</v>
      </c>
      <c r="G595" s="6" t="n">
        <v>0</v>
      </c>
      <c r="H595" s="7">
        <f>IFERROR(D595/C595,0)</f>
        <v/>
      </c>
      <c r="I595" s="7">
        <f>IFERROR(E595/D595,0)</f>
        <v/>
      </c>
      <c r="J595" s="7">
        <f>IFERROR(F595/E595,0)</f>
        <v/>
      </c>
      <c r="K595" s="7">
        <f>IFERROR(G595/C595,0)</f>
        <v/>
      </c>
    </row>
    <row r="596">
      <c r="A596" s="2" t="inlineStr">
        <is>
          <t>2026-04-10</t>
        </is>
      </c>
      <c r="B596" s="2" t="inlineStr">
        <is>
          <t>Google Ads</t>
        </is>
      </c>
      <c r="C596" s="3" t="n">
        <v>233</v>
      </c>
      <c r="D596" s="3" t="n">
        <v>22</v>
      </c>
      <c r="E596" s="3" t="n">
        <v>5</v>
      </c>
      <c r="F596" s="3" t="n">
        <v>1</v>
      </c>
      <c r="G596" s="3" t="n">
        <v>1</v>
      </c>
      <c r="H596" s="4">
        <f>IFERROR(D596/C596,0)</f>
        <v/>
      </c>
      <c r="I596" s="4">
        <f>IFERROR(E596/D596,0)</f>
        <v/>
      </c>
      <c r="J596" s="4">
        <f>IFERROR(F596/E596,0)</f>
        <v/>
      </c>
      <c r="K596" s="4">
        <f>IFERROR(G596/C596,0)</f>
        <v/>
      </c>
    </row>
    <row r="597">
      <c r="A597" s="5" t="inlineStr">
        <is>
          <t>2026-04-10</t>
        </is>
      </c>
      <c r="B597" s="5" t="inlineStr">
        <is>
          <t>Facebook Ads</t>
        </is>
      </c>
      <c r="C597" s="6" t="n">
        <v>152</v>
      </c>
      <c r="D597" s="6" t="n">
        <v>3</v>
      </c>
      <c r="E597" s="6" t="n">
        <v>0</v>
      </c>
      <c r="F597" s="6" t="n">
        <v>0</v>
      </c>
      <c r="G597" s="6" t="n">
        <v>0</v>
      </c>
      <c r="H597" s="7">
        <f>IFERROR(D597/C597,0)</f>
        <v/>
      </c>
      <c r="I597" s="7">
        <f>IFERROR(E597/D597,0)</f>
        <v/>
      </c>
      <c r="J597" s="7">
        <f>IFERROR(F597/E597,0)</f>
        <v/>
      </c>
      <c r="K597" s="7">
        <f>IFERROR(G597/C597,0)</f>
        <v/>
      </c>
    </row>
    <row r="598">
      <c r="A598" s="2" t="inlineStr">
        <is>
          <t>2026-04-10</t>
        </is>
      </c>
      <c r="B598" s="2" t="inlineStr">
        <is>
          <t>Organic SEO</t>
        </is>
      </c>
      <c r="C598" s="3" t="n">
        <v>181</v>
      </c>
      <c r="D598" s="3" t="n">
        <v>19</v>
      </c>
      <c r="E598" s="3" t="n">
        <v>5</v>
      </c>
      <c r="F598" s="3" t="n">
        <v>2</v>
      </c>
      <c r="G598" s="3" t="n">
        <v>0</v>
      </c>
      <c r="H598" s="4">
        <f>IFERROR(D598/C598,0)</f>
        <v/>
      </c>
      <c r="I598" s="4">
        <f>IFERROR(E598/D598,0)</f>
        <v/>
      </c>
      <c r="J598" s="4">
        <f>IFERROR(F598/E598,0)</f>
        <v/>
      </c>
      <c r="K598" s="4">
        <f>IFERROR(G598/C598,0)</f>
        <v/>
      </c>
    </row>
    <row r="599">
      <c r="A599" s="5" t="inlineStr">
        <is>
          <t>2026-04-10</t>
        </is>
      </c>
      <c r="B599" s="5" t="inlineStr">
        <is>
          <t>Email</t>
        </is>
      </c>
      <c r="C599" s="6" t="n">
        <v>133</v>
      </c>
      <c r="D599" s="6" t="n">
        <v>15</v>
      </c>
      <c r="E599" s="6" t="n">
        <v>4</v>
      </c>
      <c r="F599" s="6" t="n">
        <v>1</v>
      </c>
      <c r="G599" s="6" t="n">
        <v>1</v>
      </c>
      <c r="H599" s="7">
        <f>IFERROR(D599/C599,0)</f>
        <v/>
      </c>
      <c r="I599" s="7">
        <f>IFERROR(E599/D599,0)</f>
        <v/>
      </c>
      <c r="J599" s="7">
        <f>IFERROR(F599/E599,0)</f>
        <v/>
      </c>
      <c r="K599" s="7">
        <f>IFERROR(G599/C599,0)</f>
        <v/>
      </c>
    </row>
    <row r="600">
      <c r="A600" s="2" t="inlineStr">
        <is>
          <t>2026-04-10</t>
        </is>
      </c>
      <c r="B600" s="2" t="inlineStr">
        <is>
          <t>Referral</t>
        </is>
      </c>
      <c r="C600" s="3" t="n">
        <v>10</v>
      </c>
      <c r="D600" s="3" t="n">
        <v>1</v>
      </c>
      <c r="E600" s="3" t="n">
        <v>0</v>
      </c>
      <c r="F600" s="3" t="n">
        <v>0</v>
      </c>
      <c r="G600" s="3" t="n">
        <v>0</v>
      </c>
      <c r="H600" s="4">
        <f>IFERROR(D600/C600,0)</f>
        <v/>
      </c>
      <c r="I600" s="4">
        <f>IFERROR(E600/D600,0)</f>
        <v/>
      </c>
      <c r="J600" s="4">
        <f>IFERROR(F600/E600,0)</f>
        <v/>
      </c>
      <c r="K600" s="4">
        <f>IFERROR(G600/C600,0)</f>
        <v/>
      </c>
    </row>
    <row r="601">
      <c r="A601" s="5" t="inlineStr">
        <is>
          <t>2026-04-10</t>
        </is>
      </c>
      <c r="B601" s="5" t="inlineStr">
        <is>
          <t>Direct</t>
        </is>
      </c>
      <c r="C601" s="6" t="n">
        <v>39</v>
      </c>
      <c r="D601" s="6" t="n">
        <v>3</v>
      </c>
      <c r="E601" s="6" t="n">
        <v>0</v>
      </c>
      <c r="F601" s="6" t="n">
        <v>0</v>
      </c>
      <c r="G601" s="6" t="n">
        <v>0</v>
      </c>
      <c r="H601" s="7">
        <f>IFERROR(D601/C601,0)</f>
        <v/>
      </c>
      <c r="I601" s="7">
        <f>IFERROR(E601/D601,0)</f>
        <v/>
      </c>
      <c r="J601" s="7">
        <f>IFERROR(F601/E601,0)</f>
        <v/>
      </c>
      <c r="K601" s="7">
        <f>IFERROR(G601/C601,0)</f>
        <v/>
      </c>
    </row>
    <row r="602">
      <c r="A602" s="2" t="inlineStr">
        <is>
          <t>2026-04-11</t>
        </is>
      </c>
      <c r="B602" s="2" t="inlineStr">
        <is>
          <t>Google Ads</t>
        </is>
      </c>
      <c r="C602" s="3" t="n">
        <v>235</v>
      </c>
      <c r="D602" s="3" t="n">
        <v>14</v>
      </c>
      <c r="E602" s="3" t="n">
        <v>3</v>
      </c>
      <c r="F602" s="3" t="n">
        <v>1</v>
      </c>
      <c r="G602" s="3" t="n">
        <v>0</v>
      </c>
      <c r="H602" s="4">
        <f>IFERROR(D602/C602,0)</f>
        <v/>
      </c>
      <c r="I602" s="4">
        <f>IFERROR(E602/D602,0)</f>
        <v/>
      </c>
      <c r="J602" s="4">
        <f>IFERROR(F602/E602,0)</f>
        <v/>
      </c>
      <c r="K602" s="4">
        <f>IFERROR(G602/C602,0)</f>
        <v/>
      </c>
    </row>
    <row r="603">
      <c r="A603" s="5" t="inlineStr">
        <is>
          <t>2026-04-11</t>
        </is>
      </c>
      <c r="B603" s="5" t="inlineStr">
        <is>
          <t>Facebook Ads</t>
        </is>
      </c>
      <c r="C603" s="6" t="n">
        <v>109</v>
      </c>
      <c r="D603" s="6" t="n">
        <v>4</v>
      </c>
      <c r="E603" s="6" t="n">
        <v>1</v>
      </c>
      <c r="F603" s="6" t="n">
        <v>0</v>
      </c>
      <c r="G603" s="6" t="n">
        <v>0</v>
      </c>
      <c r="H603" s="7">
        <f>IFERROR(D603/C603,0)</f>
        <v/>
      </c>
      <c r="I603" s="7">
        <f>IFERROR(E603/D603,0)</f>
        <v/>
      </c>
      <c r="J603" s="7">
        <f>IFERROR(F603/E603,0)</f>
        <v/>
      </c>
      <c r="K603" s="7">
        <f>IFERROR(G603/C603,0)</f>
        <v/>
      </c>
    </row>
    <row r="604">
      <c r="A604" s="2" t="inlineStr">
        <is>
          <t>2026-04-11</t>
        </is>
      </c>
      <c r="B604" s="2" t="inlineStr">
        <is>
          <t>Organic SEO</t>
        </is>
      </c>
      <c r="C604" s="3" t="n">
        <v>217</v>
      </c>
      <c r="D604" s="3" t="n">
        <v>17</v>
      </c>
      <c r="E604" s="3" t="n">
        <v>4</v>
      </c>
      <c r="F604" s="3" t="n">
        <v>1</v>
      </c>
      <c r="G604" s="3" t="n">
        <v>1</v>
      </c>
      <c r="H604" s="4">
        <f>IFERROR(D604/C604,0)</f>
        <v/>
      </c>
      <c r="I604" s="4">
        <f>IFERROR(E604/D604,0)</f>
        <v/>
      </c>
      <c r="J604" s="4">
        <f>IFERROR(F604/E604,0)</f>
        <v/>
      </c>
      <c r="K604" s="4">
        <f>IFERROR(G604/C604,0)</f>
        <v/>
      </c>
    </row>
    <row r="605">
      <c r="A605" s="5" t="inlineStr">
        <is>
          <t>2026-04-11</t>
        </is>
      </c>
      <c r="B605" s="5" t="inlineStr">
        <is>
          <t>Email</t>
        </is>
      </c>
      <c r="C605" s="6" t="n">
        <v>134</v>
      </c>
      <c r="D605" s="6" t="n">
        <v>15</v>
      </c>
      <c r="E605" s="6" t="n">
        <v>3</v>
      </c>
      <c r="F605" s="6" t="n">
        <v>1</v>
      </c>
      <c r="G605" s="6" t="n">
        <v>1</v>
      </c>
      <c r="H605" s="7">
        <f>IFERROR(D605/C605,0)</f>
        <v/>
      </c>
      <c r="I605" s="7">
        <f>IFERROR(E605/D605,0)</f>
        <v/>
      </c>
      <c r="J605" s="7">
        <f>IFERROR(F605/E605,0)</f>
        <v/>
      </c>
      <c r="K605" s="7">
        <f>IFERROR(G605/C605,0)</f>
        <v/>
      </c>
    </row>
    <row r="606">
      <c r="A606" s="2" t="inlineStr">
        <is>
          <t>2026-04-11</t>
        </is>
      </c>
      <c r="B606" s="2" t="inlineStr">
        <is>
          <t>Referral</t>
        </is>
      </c>
      <c r="C606" s="3" t="n">
        <v>10</v>
      </c>
      <c r="D606" s="3" t="n">
        <v>1</v>
      </c>
      <c r="E606" s="3" t="n">
        <v>0</v>
      </c>
      <c r="F606" s="3" t="n">
        <v>0</v>
      </c>
      <c r="G606" s="3" t="n">
        <v>0</v>
      </c>
      <c r="H606" s="4">
        <f>IFERROR(D606/C606,0)</f>
        <v/>
      </c>
      <c r="I606" s="4">
        <f>IFERROR(E606/D606,0)</f>
        <v/>
      </c>
      <c r="J606" s="4">
        <f>IFERROR(F606/E606,0)</f>
        <v/>
      </c>
      <c r="K606" s="4">
        <f>IFERROR(G606/C606,0)</f>
        <v/>
      </c>
    </row>
    <row r="607">
      <c r="A607" s="5" t="inlineStr">
        <is>
          <t>2026-04-11</t>
        </is>
      </c>
      <c r="B607" s="5" t="inlineStr">
        <is>
          <t>Direct</t>
        </is>
      </c>
      <c r="C607" s="6" t="n">
        <v>69</v>
      </c>
      <c r="D607" s="6" t="n">
        <v>4</v>
      </c>
      <c r="E607" s="6" t="n">
        <v>0</v>
      </c>
      <c r="F607" s="6" t="n">
        <v>0</v>
      </c>
      <c r="G607" s="6" t="n">
        <v>0</v>
      </c>
      <c r="H607" s="7">
        <f>IFERROR(D607/C607,0)</f>
        <v/>
      </c>
      <c r="I607" s="7">
        <f>IFERROR(E607/D607,0)</f>
        <v/>
      </c>
      <c r="J607" s="7">
        <f>IFERROR(F607/E607,0)</f>
        <v/>
      </c>
      <c r="K607" s="7">
        <f>IFERROR(G607/C607,0)</f>
        <v/>
      </c>
    </row>
    <row r="608">
      <c r="A608" s="2" t="inlineStr">
        <is>
          <t>2026-04-12</t>
        </is>
      </c>
      <c r="B608" s="2" t="inlineStr">
        <is>
          <t>Google Ads</t>
        </is>
      </c>
      <c r="C608" s="3" t="n">
        <v>197</v>
      </c>
      <c r="D608" s="3" t="n">
        <v>14</v>
      </c>
      <c r="E608" s="3" t="n">
        <v>3</v>
      </c>
      <c r="F608" s="3" t="n">
        <v>1</v>
      </c>
      <c r="G608" s="3" t="n">
        <v>0</v>
      </c>
      <c r="H608" s="4">
        <f>IFERROR(D608/C608,0)</f>
        <v/>
      </c>
      <c r="I608" s="4">
        <f>IFERROR(E608/D608,0)</f>
        <v/>
      </c>
      <c r="J608" s="4">
        <f>IFERROR(F608/E608,0)</f>
        <v/>
      </c>
      <c r="K608" s="4">
        <f>IFERROR(G608/C608,0)</f>
        <v/>
      </c>
    </row>
    <row r="609">
      <c r="A609" s="5" t="inlineStr">
        <is>
          <t>2026-04-12</t>
        </is>
      </c>
      <c r="B609" s="5" t="inlineStr">
        <is>
          <t>Facebook Ads</t>
        </is>
      </c>
      <c r="C609" s="6" t="n">
        <v>187</v>
      </c>
      <c r="D609" s="6" t="n">
        <v>5</v>
      </c>
      <c r="E609" s="6" t="n">
        <v>1</v>
      </c>
      <c r="F609" s="6" t="n">
        <v>0</v>
      </c>
      <c r="G609" s="6" t="n">
        <v>0</v>
      </c>
      <c r="H609" s="7">
        <f>IFERROR(D609/C609,0)</f>
        <v/>
      </c>
      <c r="I609" s="7">
        <f>IFERROR(E609/D609,0)</f>
        <v/>
      </c>
      <c r="J609" s="7">
        <f>IFERROR(F609/E609,0)</f>
        <v/>
      </c>
      <c r="K609" s="7">
        <f>IFERROR(G609/C609,0)</f>
        <v/>
      </c>
    </row>
    <row r="610">
      <c r="A610" s="2" t="inlineStr">
        <is>
          <t>2026-04-12</t>
        </is>
      </c>
      <c r="B610" s="2" t="inlineStr">
        <is>
          <t>Organic SEO</t>
        </is>
      </c>
      <c r="C610" s="3" t="n">
        <v>221</v>
      </c>
      <c r="D610" s="3" t="n">
        <v>16</v>
      </c>
      <c r="E610" s="3" t="n">
        <v>4</v>
      </c>
      <c r="F610" s="3" t="n">
        <v>1</v>
      </c>
      <c r="G610" s="3" t="n">
        <v>1</v>
      </c>
      <c r="H610" s="4">
        <f>IFERROR(D610/C610,0)</f>
        <v/>
      </c>
      <c r="I610" s="4">
        <f>IFERROR(E610/D610,0)</f>
        <v/>
      </c>
      <c r="J610" s="4">
        <f>IFERROR(F610/E610,0)</f>
        <v/>
      </c>
      <c r="K610" s="4">
        <f>IFERROR(G610/C610,0)</f>
        <v/>
      </c>
    </row>
    <row r="611">
      <c r="A611" s="5" t="inlineStr">
        <is>
          <t>2026-04-12</t>
        </is>
      </c>
      <c r="B611" s="5" t="inlineStr">
        <is>
          <t>Email</t>
        </is>
      </c>
      <c r="C611" s="6" t="n">
        <v>46</v>
      </c>
      <c r="D611" s="6" t="n">
        <v>6</v>
      </c>
      <c r="E611" s="6" t="n">
        <v>1</v>
      </c>
      <c r="F611" s="6" t="n">
        <v>0</v>
      </c>
      <c r="G611" s="6" t="n">
        <v>0</v>
      </c>
      <c r="H611" s="7">
        <f>IFERROR(D611/C611,0)</f>
        <v/>
      </c>
      <c r="I611" s="7">
        <f>IFERROR(E611/D611,0)</f>
        <v/>
      </c>
      <c r="J611" s="7">
        <f>IFERROR(F611/E611,0)</f>
        <v/>
      </c>
      <c r="K611" s="7">
        <f>IFERROR(G611/C611,0)</f>
        <v/>
      </c>
    </row>
    <row r="612">
      <c r="A612" s="2" t="inlineStr">
        <is>
          <t>2026-04-12</t>
        </is>
      </c>
      <c r="B612" s="2" t="inlineStr">
        <is>
          <t>Referral</t>
        </is>
      </c>
      <c r="C612" s="3" t="n">
        <v>41</v>
      </c>
      <c r="D612" s="3" t="n">
        <v>7</v>
      </c>
      <c r="E612" s="3" t="n">
        <v>1</v>
      </c>
      <c r="F612" s="3" t="n">
        <v>0</v>
      </c>
      <c r="G612" s="3" t="n">
        <v>0</v>
      </c>
      <c r="H612" s="4">
        <f>IFERROR(D612/C612,0)</f>
        <v/>
      </c>
      <c r="I612" s="4">
        <f>IFERROR(E612/D612,0)</f>
        <v/>
      </c>
      <c r="J612" s="4">
        <f>IFERROR(F612/E612,0)</f>
        <v/>
      </c>
      <c r="K612" s="4">
        <f>IFERROR(G612/C612,0)</f>
        <v/>
      </c>
    </row>
    <row r="613">
      <c r="A613" s="5" t="inlineStr">
        <is>
          <t>2026-04-12</t>
        </is>
      </c>
      <c r="B613" s="5" t="inlineStr">
        <is>
          <t>Direct</t>
        </is>
      </c>
      <c r="C613" s="6" t="n">
        <v>23</v>
      </c>
      <c r="D613" s="6" t="n">
        <v>1</v>
      </c>
      <c r="E613" s="6" t="n">
        <v>0</v>
      </c>
      <c r="F613" s="6" t="n">
        <v>0</v>
      </c>
      <c r="G613" s="6" t="n">
        <v>0</v>
      </c>
      <c r="H613" s="7">
        <f>IFERROR(D613/C613,0)</f>
        <v/>
      </c>
      <c r="I613" s="7">
        <f>IFERROR(E613/D613,0)</f>
        <v/>
      </c>
      <c r="J613" s="7">
        <f>IFERROR(F613/E613,0)</f>
        <v/>
      </c>
      <c r="K613" s="7">
        <f>IFERROR(G613/C613,0)</f>
        <v/>
      </c>
    </row>
    <row r="614">
      <c r="A614" s="2" t="inlineStr">
        <is>
          <t>2026-04-13</t>
        </is>
      </c>
      <c r="B614" s="2" t="inlineStr">
        <is>
          <t>Google Ads</t>
        </is>
      </c>
      <c r="C614" s="3" t="n">
        <v>168</v>
      </c>
      <c r="D614" s="3" t="n">
        <v>10</v>
      </c>
      <c r="E614" s="3" t="n">
        <v>2</v>
      </c>
      <c r="F614" s="3" t="n">
        <v>0</v>
      </c>
      <c r="G614" s="3" t="n">
        <v>0</v>
      </c>
      <c r="H614" s="4">
        <f>IFERROR(D614/C614,0)</f>
        <v/>
      </c>
      <c r="I614" s="4">
        <f>IFERROR(E614/D614,0)</f>
        <v/>
      </c>
      <c r="J614" s="4">
        <f>IFERROR(F614/E614,0)</f>
        <v/>
      </c>
      <c r="K614" s="4">
        <f>IFERROR(G614/C614,0)</f>
        <v/>
      </c>
    </row>
    <row r="615">
      <c r="A615" s="5" t="inlineStr">
        <is>
          <t>2026-04-13</t>
        </is>
      </c>
      <c r="B615" s="5" t="inlineStr">
        <is>
          <t>Facebook Ads</t>
        </is>
      </c>
      <c r="C615" s="6" t="n">
        <v>182</v>
      </c>
      <c r="D615" s="6" t="n">
        <v>4</v>
      </c>
      <c r="E615" s="6" t="n">
        <v>1</v>
      </c>
      <c r="F615" s="6" t="n">
        <v>0</v>
      </c>
      <c r="G615" s="6" t="n">
        <v>0</v>
      </c>
      <c r="H615" s="7">
        <f>IFERROR(D615/C615,0)</f>
        <v/>
      </c>
      <c r="I615" s="7">
        <f>IFERROR(E615/D615,0)</f>
        <v/>
      </c>
      <c r="J615" s="7">
        <f>IFERROR(F615/E615,0)</f>
        <v/>
      </c>
      <c r="K615" s="7">
        <f>IFERROR(G615/C615,0)</f>
        <v/>
      </c>
    </row>
    <row r="616">
      <c r="A616" s="2" t="inlineStr">
        <is>
          <t>2026-04-13</t>
        </is>
      </c>
      <c r="B616" s="2" t="inlineStr">
        <is>
          <t>Organic SEO</t>
        </is>
      </c>
      <c r="C616" s="3" t="n">
        <v>188</v>
      </c>
      <c r="D616" s="3" t="n">
        <v>14</v>
      </c>
      <c r="E616" s="3" t="n">
        <v>3</v>
      </c>
      <c r="F616" s="3" t="n">
        <v>1</v>
      </c>
      <c r="G616" s="3" t="n">
        <v>1</v>
      </c>
      <c r="H616" s="4">
        <f>IFERROR(D616/C616,0)</f>
        <v/>
      </c>
      <c r="I616" s="4">
        <f>IFERROR(E616/D616,0)</f>
        <v/>
      </c>
      <c r="J616" s="4">
        <f>IFERROR(F616/E616,0)</f>
        <v/>
      </c>
      <c r="K616" s="4">
        <f>IFERROR(G616/C616,0)</f>
        <v/>
      </c>
    </row>
    <row r="617">
      <c r="A617" s="5" t="inlineStr">
        <is>
          <t>2026-04-13</t>
        </is>
      </c>
      <c r="B617" s="5" t="inlineStr">
        <is>
          <t>Email</t>
        </is>
      </c>
      <c r="C617" s="6" t="n">
        <v>82</v>
      </c>
      <c r="D617" s="6" t="n">
        <v>8</v>
      </c>
      <c r="E617" s="6" t="n">
        <v>1</v>
      </c>
      <c r="F617" s="6" t="n">
        <v>0</v>
      </c>
      <c r="G617" s="6" t="n">
        <v>1</v>
      </c>
      <c r="H617" s="7">
        <f>IFERROR(D617/C617,0)</f>
        <v/>
      </c>
      <c r="I617" s="7">
        <f>IFERROR(E617/D617,0)</f>
        <v/>
      </c>
      <c r="J617" s="7">
        <f>IFERROR(F617/E617,0)</f>
        <v/>
      </c>
      <c r="K617" s="7">
        <f>IFERROR(G617/C617,0)</f>
        <v/>
      </c>
    </row>
    <row r="618">
      <c r="A618" s="2" t="inlineStr">
        <is>
          <t>2026-04-13</t>
        </is>
      </c>
      <c r="B618" s="2" t="inlineStr">
        <is>
          <t>Referral</t>
        </is>
      </c>
      <c r="C618" s="3" t="n">
        <v>45</v>
      </c>
      <c r="D618" s="3" t="n">
        <v>7</v>
      </c>
      <c r="E618" s="3" t="n">
        <v>1</v>
      </c>
      <c r="F618" s="3" t="n">
        <v>0</v>
      </c>
      <c r="G618" s="3" t="n">
        <v>0</v>
      </c>
      <c r="H618" s="4">
        <f>IFERROR(D618/C618,0)</f>
        <v/>
      </c>
      <c r="I618" s="4">
        <f>IFERROR(E618/D618,0)</f>
        <v/>
      </c>
      <c r="J618" s="4">
        <f>IFERROR(F618/E618,0)</f>
        <v/>
      </c>
      <c r="K618" s="4">
        <f>IFERROR(G618/C618,0)</f>
        <v/>
      </c>
    </row>
    <row r="619">
      <c r="A619" s="5" t="inlineStr">
        <is>
          <t>2026-04-13</t>
        </is>
      </c>
      <c r="B619" s="5" t="inlineStr">
        <is>
          <t>Direct</t>
        </is>
      </c>
      <c r="C619" s="6" t="n">
        <v>32</v>
      </c>
      <c r="D619" s="6" t="n">
        <v>2</v>
      </c>
      <c r="E619" s="6" t="n">
        <v>0</v>
      </c>
      <c r="F619" s="6" t="n">
        <v>0</v>
      </c>
      <c r="G619" s="6" t="n">
        <v>0</v>
      </c>
      <c r="H619" s="7">
        <f>IFERROR(D619/C619,0)</f>
        <v/>
      </c>
      <c r="I619" s="7">
        <f>IFERROR(E619/D619,0)</f>
        <v/>
      </c>
      <c r="J619" s="7">
        <f>IFERROR(F619/E619,0)</f>
        <v/>
      </c>
      <c r="K619" s="7">
        <f>IFERROR(G619/C619,0)</f>
        <v/>
      </c>
    </row>
    <row r="620">
      <c r="A620" s="2" t="inlineStr">
        <is>
          <t>2026-04-14</t>
        </is>
      </c>
      <c r="B620" s="2" t="inlineStr">
        <is>
          <t>Google Ads</t>
        </is>
      </c>
      <c r="C620" s="3" t="n">
        <v>159</v>
      </c>
      <c r="D620" s="3" t="n">
        <v>9</v>
      </c>
      <c r="E620" s="3" t="n">
        <v>2</v>
      </c>
      <c r="F620" s="3" t="n">
        <v>0</v>
      </c>
      <c r="G620" s="3" t="n">
        <v>0</v>
      </c>
      <c r="H620" s="4">
        <f>IFERROR(D620/C620,0)</f>
        <v/>
      </c>
      <c r="I620" s="4">
        <f>IFERROR(E620/D620,0)</f>
        <v/>
      </c>
      <c r="J620" s="4">
        <f>IFERROR(F620/E620,0)</f>
        <v/>
      </c>
      <c r="K620" s="4">
        <f>IFERROR(G620/C620,0)</f>
        <v/>
      </c>
    </row>
    <row r="621">
      <c r="A621" s="5" t="inlineStr">
        <is>
          <t>2026-04-14</t>
        </is>
      </c>
      <c r="B621" s="5" t="inlineStr">
        <is>
          <t>Facebook Ads</t>
        </is>
      </c>
      <c r="C621" s="6" t="n">
        <v>152</v>
      </c>
      <c r="D621" s="6" t="n">
        <v>7</v>
      </c>
      <c r="E621" s="6" t="n">
        <v>1</v>
      </c>
      <c r="F621" s="6" t="n">
        <v>0</v>
      </c>
      <c r="G621" s="6" t="n">
        <v>0</v>
      </c>
      <c r="H621" s="7">
        <f>IFERROR(D621/C621,0)</f>
        <v/>
      </c>
      <c r="I621" s="7">
        <f>IFERROR(E621/D621,0)</f>
        <v/>
      </c>
      <c r="J621" s="7">
        <f>IFERROR(F621/E621,0)</f>
        <v/>
      </c>
      <c r="K621" s="7">
        <f>IFERROR(G621/C621,0)</f>
        <v/>
      </c>
    </row>
    <row r="622">
      <c r="A622" s="2" t="inlineStr">
        <is>
          <t>2026-04-14</t>
        </is>
      </c>
      <c r="B622" s="2" t="inlineStr">
        <is>
          <t>Organic SEO</t>
        </is>
      </c>
      <c r="C622" s="3" t="n">
        <v>233</v>
      </c>
      <c r="D622" s="3" t="n">
        <v>18</v>
      </c>
      <c r="E622" s="3" t="n">
        <v>4</v>
      </c>
      <c r="F622" s="3" t="n">
        <v>1</v>
      </c>
      <c r="G622" s="3" t="n">
        <v>1</v>
      </c>
      <c r="H622" s="4">
        <f>IFERROR(D622/C622,0)</f>
        <v/>
      </c>
      <c r="I622" s="4">
        <f>IFERROR(E622/D622,0)</f>
        <v/>
      </c>
      <c r="J622" s="4">
        <f>IFERROR(F622/E622,0)</f>
        <v/>
      </c>
      <c r="K622" s="4">
        <f>IFERROR(G622/C622,0)</f>
        <v/>
      </c>
    </row>
    <row r="623">
      <c r="A623" s="5" t="inlineStr">
        <is>
          <t>2026-04-14</t>
        </is>
      </c>
      <c r="B623" s="5" t="inlineStr">
        <is>
          <t>Email</t>
        </is>
      </c>
      <c r="C623" s="6" t="n">
        <v>109</v>
      </c>
      <c r="D623" s="6" t="n">
        <v>15</v>
      </c>
      <c r="E623" s="6" t="n">
        <v>4</v>
      </c>
      <c r="F623" s="6" t="n">
        <v>1</v>
      </c>
      <c r="G623" s="6" t="n">
        <v>2</v>
      </c>
      <c r="H623" s="7">
        <f>IFERROR(D623/C623,0)</f>
        <v/>
      </c>
      <c r="I623" s="7">
        <f>IFERROR(E623/D623,0)</f>
        <v/>
      </c>
      <c r="J623" s="7">
        <f>IFERROR(F623/E623,0)</f>
        <v/>
      </c>
      <c r="K623" s="7">
        <f>IFERROR(G623/C623,0)</f>
        <v/>
      </c>
    </row>
    <row r="624">
      <c r="A624" s="2" t="inlineStr">
        <is>
          <t>2026-04-14</t>
        </is>
      </c>
      <c r="B624" s="2" t="inlineStr">
        <is>
          <t>Referral</t>
        </is>
      </c>
      <c r="C624" s="3" t="n">
        <v>59</v>
      </c>
      <c r="D624" s="3" t="n">
        <v>9</v>
      </c>
      <c r="E624" s="3" t="n">
        <v>2</v>
      </c>
      <c r="F624" s="3" t="n">
        <v>0</v>
      </c>
      <c r="G624" s="3" t="n">
        <v>1</v>
      </c>
      <c r="H624" s="4">
        <f>IFERROR(D624/C624,0)</f>
        <v/>
      </c>
      <c r="I624" s="4">
        <f>IFERROR(E624/D624,0)</f>
        <v/>
      </c>
      <c r="J624" s="4">
        <f>IFERROR(F624/E624,0)</f>
        <v/>
      </c>
      <c r="K624" s="4">
        <f>IFERROR(G624/C624,0)</f>
        <v/>
      </c>
    </row>
    <row r="625">
      <c r="A625" s="5" t="inlineStr">
        <is>
          <t>2026-04-14</t>
        </is>
      </c>
      <c r="B625" s="5" t="inlineStr">
        <is>
          <t>Direct</t>
        </is>
      </c>
      <c r="C625" s="6" t="n">
        <v>44</v>
      </c>
      <c r="D625" s="6" t="n">
        <v>2</v>
      </c>
      <c r="E625" s="6" t="n">
        <v>0</v>
      </c>
      <c r="F625" s="6" t="n">
        <v>0</v>
      </c>
      <c r="G625" s="6" t="n">
        <v>0</v>
      </c>
      <c r="H625" s="7">
        <f>IFERROR(D625/C625,0)</f>
        <v/>
      </c>
      <c r="I625" s="7">
        <f>IFERROR(E625/D625,0)</f>
        <v/>
      </c>
      <c r="J625" s="7">
        <f>IFERROR(F625/E625,0)</f>
        <v/>
      </c>
      <c r="K625" s="7">
        <f>IFERROR(G625/C625,0)</f>
        <v/>
      </c>
    </row>
    <row r="626">
      <c r="A626" s="2" t="inlineStr">
        <is>
          <t>2026-04-15</t>
        </is>
      </c>
      <c r="B626" s="2" t="inlineStr">
        <is>
          <t>Google Ads</t>
        </is>
      </c>
      <c r="C626" s="3" t="n">
        <v>239</v>
      </c>
      <c r="D626" s="3" t="n">
        <v>17</v>
      </c>
      <c r="E626" s="3" t="n">
        <v>4</v>
      </c>
      <c r="F626" s="3" t="n">
        <v>1</v>
      </c>
      <c r="G626" s="3" t="n">
        <v>1</v>
      </c>
      <c r="H626" s="4">
        <f>IFERROR(D626/C626,0)</f>
        <v/>
      </c>
      <c r="I626" s="4">
        <f>IFERROR(E626/D626,0)</f>
        <v/>
      </c>
      <c r="J626" s="4">
        <f>IFERROR(F626/E626,0)</f>
        <v/>
      </c>
      <c r="K626" s="4">
        <f>IFERROR(G626/C626,0)</f>
        <v/>
      </c>
    </row>
    <row r="627">
      <c r="A627" s="5" t="inlineStr">
        <is>
          <t>2026-04-15</t>
        </is>
      </c>
      <c r="B627" s="5" t="inlineStr">
        <is>
          <t>Facebook Ads</t>
        </is>
      </c>
      <c r="C627" s="6" t="n">
        <v>174</v>
      </c>
      <c r="D627" s="6" t="n">
        <v>8</v>
      </c>
      <c r="E627" s="6" t="n">
        <v>1</v>
      </c>
      <c r="F627" s="6" t="n">
        <v>0</v>
      </c>
      <c r="G627" s="6" t="n">
        <v>0</v>
      </c>
      <c r="H627" s="7">
        <f>IFERROR(D627/C627,0)</f>
        <v/>
      </c>
      <c r="I627" s="7">
        <f>IFERROR(E627/D627,0)</f>
        <v/>
      </c>
      <c r="J627" s="7">
        <f>IFERROR(F627/E627,0)</f>
        <v/>
      </c>
      <c r="K627" s="7">
        <f>IFERROR(G627/C627,0)</f>
        <v/>
      </c>
    </row>
    <row r="628">
      <c r="A628" s="2" t="inlineStr">
        <is>
          <t>2026-04-15</t>
        </is>
      </c>
      <c r="B628" s="2" t="inlineStr">
        <is>
          <t>Organic SEO</t>
        </is>
      </c>
      <c r="C628" s="3" t="n">
        <v>214</v>
      </c>
      <c r="D628" s="3" t="n">
        <v>19</v>
      </c>
      <c r="E628" s="3" t="n">
        <v>5</v>
      </c>
      <c r="F628" s="3" t="n">
        <v>2</v>
      </c>
      <c r="G628" s="3" t="n">
        <v>1</v>
      </c>
      <c r="H628" s="4">
        <f>IFERROR(D628/C628,0)</f>
        <v/>
      </c>
      <c r="I628" s="4">
        <f>IFERROR(E628/D628,0)</f>
        <v/>
      </c>
      <c r="J628" s="4">
        <f>IFERROR(F628/E628,0)</f>
        <v/>
      </c>
      <c r="K628" s="4">
        <f>IFERROR(G628/C628,0)</f>
        <v/>
      </c>
    </row>
    <row r="629">
      <c r="A629" s="5" t="inlineStr">
        <is>
          <t>2026-04-15</t>
        </is>
      </c>
      <c r="B629" s="5" t="inlineStr">
        <is>
          <t>Email</t>
        </is>
      </c>
      <c r="C629" s="6" t="n">
        <v>68</v>
      </c>
      <c r="D629" s="6" t="n">
        <v>8</v>
      </c>
      <c r="E629" s="6" t="n">
        <v>2</v>
      </c>
      <c r="F629" s="6" t="n">
        <v>0</v>
      </c>
      <c r="G629" s="6" t="n">
        <v>1</v>
      </c>
      <c r="H629" s="7">
        <f>IFERROR(D629/C629,0)</f>
        <v/>
      </c>
      <c r="I629" s="7">
        <f>IFERROR(E629/D629,0)</f>
        <v/>
      </c>
      <c r="J629" s="7">
        <f>IFERROR(F629/E629,0)</f>
        <v/>
      </c>
      <c r="K629" s="7">
        <f>IFERROR(G629/C629,0)</f>
        <v/>
      </c>
    </row>
    <row r="630">
      <c r="A630" s="2" t="inlineStr">
        <is>
          <t>2026-04-15</t>
        </is>
      </c>
      <c r="B630" s="2" t="inlineStr">
        <is>
          <t>Referral</t>
        </is>
      </c>
      <c r="C630" s="3" t="n">
        <v>12</v>
      </c>
      <c r="D630" s="3" t="n">
        <v>1</v>
      </c>
      <c r="E630" s="3" t="n">
        <v>0</v>
      </c>
      <c r="F630" s="3" t="n">
        <v>0</v>
      </c>
      <c r="G630" s="3" t="n">
        <v>0</v>
      </c>
      <c r="H630" s="4">
        <f>IFERROR(D630/C630,0)</f>
        <v/>
      </c>
      <c r="I630" s="4">
        <f>IFERROR(E630/D630,0)</f>
        <v/>
      </c>
      <c r="J630" s="4">
        <f>IFERROR(F630/E630,0)</f>
        <v/>
      </c>
      <c r="K630" s="4">
        <f>IFERROR(G630/C630,0)</f>
        <v/>
      </c>
    </row>
    <row r="631">
      <c r="A631" s="5" t="inlineStr">
        <is>
          <t>2026-04-15</t>
        </is>
      </c>
      <c r="B631" s="5" t="inlineStr">
        <is>
          <t>Direct</t>
        </is>
      </c>
      <c r="C631" s="6" t="n">
        <v>85</v>
      </c>
      <c r="D631" s="6" t="n">
        <v>4</v>
      </c>
      <c r="E631" s="6" t="n">
        <v>1</v>
      </c>
      <c r="F631" s="6" t="n">
        <v>0</v>
      </c>
      <c r="G631" s="6" t="n">
        <v>0</v>
      </c>
      <c r="H631" s="7">
        <f>IFERROR(D631/C631,0)</f>
        <v/>
      </c>
      <c r="I631" s="7">
        <f>IFERROR(E631/D631,0)</f>
        <v/>
      </c>
      <c r="J631" s="7">
        <f>IFERROR(F631/E631,0)</f>
        <v/>
      </c>
      <c r="K631" s="7">
        <f>IFERROR(G631/C631,0)</f>
        <v/>
      </c>
    </row>
    <row r="632">
      <c r="A632" s="2" t="inlineStr">
        <is>
          <t>2026-04-16</t>
        </is>
      </c>
      <c r="B632" s="2" t="inlineStr">
        <is>
          <t>Google Ads</t>
        </is>
      </c>
      <c r="C632" s="3" t="n">
        <v>212</v>
      </c>
      <c r="D632" s="3" t="n">
        <v>20</v>
      </c>
      <c r="E632" s="3" t="n">
        <v>5</v>
      </c>
      <c r="F632" s="3" t="n">
        <v>2</v>
      </c>
      <c r="G632" s="3" t="n">
        <v>1</v>
      </c>
      <c r="H632" s="4">
        <f>IFERROR(D632/C632,0)</f>
        <v/>
      </c>
      <c r="I632" s="4">
        <f>IFERROR(E632/D632,0)</f>
        <v/>
      </c>
      <c r="J632" s="4">
        <f>IFERROR(F632/E632,0)</f>
        <v/>
      </c>
      <c r="K632" s="4">
        <f>IFERROR(G632/C632,0)</f>
        <v/>
      </c>
    </row>
    <row r="633">
      <c r="A633" s="5" t="inlineStr">
        <is>
          <t>2026-04-16</t>
        </is>
      </c>
      <c r="B633" s="5" t="inlineStr">
        <is>
          <t>Facebook Ads</t>
        </is>
      </c>
      <c r="C633" s="6" t="n">
        <v>169</v>
      </c>
      <c r="D633" s="6" t="n">
        <v>4</v>
      </c>
      <c r="E633" s="6" t="n">
        <v>0</v>
      </c>
      <c r="F633" s="6" t="n">
        <v>0</v>
      </c>
      <c r="G633" s="6" t="n">
        <v>0</v>
      </c>
      <c r="H633" s="7">
        <f>IFERROR(D633/C633,0)</f>
        <v/>
      </c>
      <c r="I633" s="7">
        <f>IFERROR(E633/D633,0)</f>
        <v/>
      </c>
      <c r="J633" s="7">
        <f>IFERROR(F633/E633,0)</f>
        <v/>
      </c>
      <c r="K633" s="7">
        <f>IFERROR(G633/C633,0)</f>
        <v/>
      </c>
    </row>
    <row r="634">
      <c r="A634" s="2" t="inlineStr">
        <is>
          <t>2026-04-16</t>
        </is>
      </c>
      <c r="B634" s="2" t="inlineStr">
        <is>
          <t>Organic SEO</t>
        </is>
      </c>
      <c r="C634" s="3" t="n">
        <v>208</v>
      </c>
      <c r="D634" s="3" t="n">
        <v>14</v>
      </c>
      <c r="E634" s="3" t="n">
        <v>3</v>
      </c>
      <c r="F634" s="3" t="n">
        <v>1</v>
      </c>
      <c r="G634" s="3" t="n">
        <v>0</v>
      </c>
      <c r="H634" s="4">
        <f>IFERROR(D634/C634,0)</f>
        <v/>
      </c>
      <c r="I634" s="4">
        <f>IFERROR(E634/D634,0)</f>
        <v/>
      </c>
      <c r="J634" s="4">
        <f>IFERROR(F634/E634,0)</f>
        <v/>
      </c>
      <c r="K634" s="4">
        <f>IFERROR(G634/C634,0)</f>
        <v/>
      </c>
    </row>
    <row r="635">
      <c r="A635" s="5" t="inlineStr">
        <is>
          <t>2026-04-16</t>
        </is>
      </c>
      <c r="B635" s="5" t="inlineStr">
        <is>
          <t>Email</t>
        </is>
      </c>
      <c r="C635" s="6" t="n">
        <v>56</v>
      </c>
      <c r="D635" s="6" t="n">
        <v>6</v>
      </c>
      <c r="E635" s="6" t="n">
        <v>1</v>
      </c>
      <c r="F635" s="6" t="n">
        <v>0</v>
      </c>
      <c r="G635" s="6" t="n">
        <v>0</v>
      </c>
      <c r="H635" s="7">
        <f>IFERROR(D635/C635,0)</f>
        <v/>
      </c>
      <c r="I635" s="7">
        <f>IFERROR(E635/D635,0)</f>
        <v/>
      </c>
      <c r="J635" s="7">
        <f>IFERROR(F635/E635,0)</f>
        <v/>
      </c>
      <c r="K635" s="7">
        <f>IFERROR(G635/C635,0)</f>
        <v/>
      </c>
    </row>
    <row r="636">
      <c r="A636" s="2" t="inlineStr">
        <is>
          <t>2026-04-16</t>
        </is>
      </c>
      <c r="B636" s="2" t="inlineStr">
        <is>
          <t>Referral</t>
        </is>
      </c>
      <c r="C636" s="3" t="n">
        <v>10</v>
      </c>
      <c r="D636" s="3" t="n">
        <v>1</v>
      </c>
      <c r="E636" s="3" t="n">
        <v>0</v>
      </c>
      <c r="F636" s="3" t="n">
        <v>0</v>
      </c>
      <c r="G636" s="3" t="n">
        <v>0</v>
      </c>
      <c r="H636" s="4">
        <f>IFERROR(D636/C636,0)</f>
        <v/>
      </c>
      <c r="I636" s="4">
        <f>IFERROR(E636/D636,0)</f>
        <v/>
      </c>
      <c r="J636" s="4">
        <f>IFERROR(F636/E636,0)</f>
        <v/>
      </c>
      <c r="K636" s="4">
        <f>IFERROR(G636/C636,0)</f>
        <v/>
      </c>
    </row>
    <row r="637">
      <c r="A637" s="5" t="inlineStr">
        <is>
          <t>2026-04-16</t>
        </is>
      </c>
      <c r="B637" s="5" t="inlineStr">
        <is>
          <t>Direct</t>
        </is>
      </c>
      <c r="C637" s="6" t="n">
        <v>77</v>
      </c>
      <c r="D637" s="6" t="n">
        <v>6</v>
      </c>
      <c r="E637" s="6" t="n">
        <v>1</v>
      </c>
      <c r="F637" s="6" t="n">
        <v>0</v>
      </c>
      <c r="G637" s="6" t="n">
        <v>0</v>
      </c>
      <c r="H637" s="7">
        <f>IFERROR(D637/C637,0)</f>
        <v/>
      </c>
      <c r="I637" s="7">
        <f>IFERROR(E637/D637,0)</f>
        <v/>
      </c>
      <c r="J637" s="7">
        <f>IFERROR(F637/E637,0)</f>
        <v/>
      </c>
      <c r="K637" s="7">
        <f>IFERROR(G637/C637,0)</f>
        <v/>
      </c>
    </row>
    <row r="638">
      <c r="A638" s="2" t="inlineStr">
        <is>
          <t>2026-04-17</t>
        </is>
      </c>
      <c r="B638" s="2" t="inlineStr">
        <is>
          <t>Google Ads</t>
        </is>
      </c>
      <c r="C638" s="3" t="n">
        <v>190</v>
      </c>
      <c r="D638" s="3" t="n">
        <v>15</v>
      </c>
      <c r="E638" s="3" t="n">
        <v>3</v>
      </c>
      <c r="F638" s="3" t="n">
        <v>1</v>
      </c>
      <c r="G638" s="3" t="n">
        <v>0</v>
      </c>
      <c r="H638" s="4">
        <f>IFERROR(D638/C638,0)</f>
        <v/>
      </c>
      <c r="I638" s="4">
        <f>IFERROR(E638/D638,0)</f>
        <v/>
      </c>
      <c r="J638" s="4">
        <f>IFERROR(F638/E638,0)</f>
        <v/>
      </c>
      <c r="K638" s="4">
        <f>IFERROR(G638/C638,0)</f>
        <v/>
      </c>
    </row>
    <row r="639">
      <c r="A639" s="5" t="inlineStr">
        <is>
          <t>2026-04-17</t>
        </is>
      </c>
      <c r="B639" s="5" t="inlineStr">
        <is>
          <t>Facebook Ads</t>
        </is>
      </c>
      <c r="C639" s="6" t="n">
        <v>193</v>
      </c>
      <c r="D639" s="6" t="n">
        <v>9</v>
      </c>
      <c r="E639" s="6" t="n">
        <v>2</v>
      </c>
      <c r="F639" s="6" t="n">
        <v>0</v>
      </c>
      <c r="G639" s="6" t="n">
        <v>0</v>
      </c>
      <c r="H639" s="7">
        <f>IFERROR(D639/C639,0)</f>
        <v/>
      </c>
      <c r="I639" s="7">
        <f>IFERROR(E639/D639,0)</f>
        <v/>
      </c>
      <c r="J639" s="7">
        <f>IFERROR(F639/E639,0)</f>
        <v/>
      </c>
      <c r="K639" s="7">
        <f>IFERROR(G639/C639,0)</f>
        <v/>
      </c>
    </row>
    <row r="640">
      <c r="A640" s="2" t="inlineStr">
        <is>
          <t>2026-04-17</t>
        </is>
      </c>
      <c r="B640" s="2" t="inlineStr">
        <is>
          <t>Organic SEO</t>
        </is>
      </c>
      <c r="C640" s="3" t="n">
        <v>202</v>
      </c>
      <c r="D640" s="3" t="n">
        <v>19</v>
      </c>
      <c r="E640" s="3" t="n">
        <v>5</v>
      </c>
      <c r="F640" s="3" t="n">
        <v>2</v>
      </c>
      <c r="G640" s="3" t="n">
        <v>1</v>
      </c>
      <c r="H640" s="4">
        <f>IFERROR(D640/C640,0)</f>
        <v/>
      </c>
      <c r="I640" s="4">
        <f>IFERROR(E640/D640,0)</f>
        <v/>
      </c>
      <c r="J640" s="4">
        <f>IFERROR(F640/E640,0)</f>
        <v/>
      </c>
      <c r="K640" s="4">
        <f>IFERROR(G640/C640,0)</f>
        <v/>
      </c>
    </row>
    <row r="641">
      <c r="A641" s="5" t="inlineStr">
        <is>
          <t>2026-04-17</t>
        </is>
      </c>
      <c r="B641" s="5" t="inlineStr">
        <is>
          <t>Email</t>
        </is>
      </c>
      <c r="C641" s="6" t="n">
        <v>85</v>
      </c>
      <c r="D641" s="6" t="n">
        <v>9</v>
      </c>
      <c r="E641" s="6" t="n">
        <v>2</v>
      </c>
      <c r="F641" s="6" t="n">
        <v>0</v>
      </c>
      <c r="G641" s="6" t="n">
        <v>1</v>
      </c>
      <c r="H641" s="7">
        <f>IFERROR(D641/C641,0)</f>
        <v/>
      </c>
      <c r="I641" s="7">
        <f>IFERROR(E641/D641,0)</f>
        <v/>
      </c>
      <c r="J641" s="7">
        <f>IFERROR(F641/E641,0)</f>
        <v/>
      </c>
      <c r="K641" s="7">
        <f>IFERROR(G641/C641,0)</f>
        <v/>
      </c>
    </row>
    <row r="642">
      <c r="A642" s="2" t="inlineStr">
        <is>
          <t>2026-04-17</t>
        </is>
      </c>
      <c r="B642" s="2" t="inlineStr">
        <is>
          <t>Referral</t>
        </is>
      </c>
      <c r="C642" s="3" t="n">
        <v>78</v>
      </c>
      <c r="D642" s="3" t="n">
        <v>10</v>
      </c>
      <c r="E642" s="3" t="n">
        <v>2</v>
      </c>
      <c r="F642" s="3" t="n">
        <v>0</v>
      </c>
      <c r="G642" s="3" t="n">
        <v>1</v>
      </c>
      <c r="H642" s="4">
        <f>IFERROR(D642/C642,0)</f>
        <v/>
      </c>
      <c r="I642" s="4">
        <f>IFERROR(E642/D642,0)</f>
        <v/>
      </c>
      <c r="J642" s="4">
        <f>IFERROR(F642/E642,0)</f>
        <v/>
      </c>
      <c r="K642" s="4">
        <f>IFERROR(G642/C642,0)</f>
        <v/>
      </c>
    </row>
    <row r="643">
      <c r="A643" s="5" t="inlineStr">
        <is>
          <t>2026-04-17</t>
        </is>
      </c>
      <c r="B643" s="5" t="inlineStr">
        <is>
          <t>Direct</t>
        </is>
      </c>
      <c r="C643" s="6" t="n">
        <v>83</v>
      </c>
      <c r="D643" s="6" t="n">
        <v>5</v>
      </c>
      <c r="E643" s="6" t="n">
        <v>1</v>
      </c>
      <c r="F643" s="6" t="n">
        <v>0</v>
      </c>
      <c r="G643" s="6" t="n">
        <v>0</v>
      </c>
      <c r="H643" s="7">
        <f>IFERROR(D643/C643,0)</f>
        <v/>
      </c>
      <c r="I643" s="7">
        <f>IFERROR(E643/D643,0)</f>
        <v/>
      </c>
      <c r="J643" s="7">
        <f>IFERROR(F643/E643,0)</f>
        <v/>
      </c>
      <c r="K643" s="7">
        <f>IFERROR(G643/C643,0)</f>
        <v/>
      </c>
    </row>
    <row r="644">
      <c r="A644" s="2" t="inlineStr">
        <is>
          <t>2026-04-18</t>
        </is>
      </c>
      <c r="B644" s="2" t="inlineStr">
        <is>
          <t>Google Ads</t>
        </is>
      </c>
      <c r="C644" s="3" t="n">
        <v>217</v>
      </c>
      <c r="D644" s="3" t="n">
        <v>15</v>
      </c>
      <c r="E644" s="3" t="n">
        <v>4</v>
      </c>
      <c r="F644" s="3" t="n">
        <v>1</v>
      </c>
      <c r="G644" s="3" t="n">
        <v>1</v>
      </c>
      <c r="H644" s="4">
        <f>IFERROR(D644/C644,0)</f>
        <v/>
      </c>
      <c r="I644" s="4">
        <f>IFERROR(E644/D644,0)</f>
        <v/>
      </c>
      <c r="J644" s="4">
        <f>IFERROR(F644/E644,0)</f>
        <v/>
      </c>
      <c r="K644" s="4">
        <f>IFERROR(G644/C644,0)</f>
        <v/>
      </c>
    </row>
    <row r="645">
      <c r="A645" s="5" t="inlineStr">
        <is>
          <t>2026-04-18</t>
        </is>
      </c>
      <c r="B645" s="5" t="inlineStr">
        <is>
          <t>Facebook Ads</t>
        </is>
      </c>
      <c r="C645" s="6" t="n">
        <v>113</v>
      </c>
      <c r="D645" s="6" t="n">
        <v>5</v>
      </c>
      <c r="E645" s="6" t="n">
        <v>1</v>
      </c>
      <c r="F645" s="6" t="n">
        <v>0</v>
      </c>
      <c r="G645" s="6" t="n">
        <v>0</v>
      </c>
      <c r="H645" s="7">
        <f>IFERROR(D645/C645,0)</f>
        <v/>
      </c>
      <c r="I645" s="7">
        <f>IFERROR(E645/D645,0)</f>
        <v/>
      </c>
      <c r="J645" s="7">
        <f>IFERROR(F645/E645,0)</f>
        <v/>
      </c>
      <c r="K645" s="7">
        <f>IFERROR(G645/C645,0)</f>
        <v/>
      </c>
    </row>
    <row r="646">
      <c r="A646" s="2" t="inlineStr">
        <is>
          <t>2026-04-18</t>
        </is>
      </c>
      <c r="B646" s="2" t="inlineStr">
        <is>
          <t>Organic SEO</t>
        </is>
      </c>
      <c r="C646" s="3" t="n">
        <v>220</v>
      </c>
      <c r="D646" s="3" t="n">
        <v>16</v>
      </c>
      <c r="E646" s="3" t="n">
        <v>3</v>
      </c>
      <c r="F646" s="3" t="n">
        <v>1</v>
      </c>
      <c r="G646" s="3" t="n">
        <v>1</v>
      </c>
      <c r="H646" s="4">
        <f>IFERROR(D646/C646,0)</f>
        <v/>
      </c>
      <c r="I646" s="4">
        <f>IFERROR(E646/D646,0)</f>
        <v/>
      </c>
      <c r="J646" s="4">
        <f>IFERROR(F646/E646,0)</f>
        <v/>
      </c>
      <c r="K646" s="4">
        <f>IFERROR(G646/C646,0)</f>
        <v/>
      </c>
    </row>
    <row r="647">
      <c r="A647" s="5" t="inlineStr">
        <is>
          <t>2026-04-18</t>
        </is>
      </c>
      <c r="B647" s="5" t="inlineStr">
        <is>
          <t>Email</t>
        </is>
      </c>
      <c r="C647" s="6" t="n">
        <v>121</v>
      </c>
      <c r="D647" s="6" t="n">
        <v>16</v>
      </c>
      <c r="E647" s="6" t="n">
        <v>3</v>
      </c>
      <c r="F647" s="6" t="n">
        <v>1</v>
      </c>
      <c r="G647" s="6" t="n">
        <v>1</v>
      </c>
      <c r="H647" s="7">
        <f>IFERROR(D647/C647,0)</f>
        <v/>
      </c>
      <c r="I647" s="7">
        <f>IFERROR(E647/D647,0)</f>
        <v/>
      </c>
      <c r="J647" s="7">
        <f>IFERROR(F647/E647,0)</f>
        <v/>
      </c>
      <c r="K647" s="7">
        <f>IFERROR(G647/C647,0)</f>
        <v/>
      </c>
    </row>
    <row r="648">
      <c r="A648" s="2" t="inlineStr">
        <is>
          <t>2026-04-18</t>
        </is>
      </c>
      <c r="B648" s="2" t="inlineStr">
        <is>
          <t>Referral</t>
        </is>
      </c>
      <c r="C648" s="3" t="n">
        <v>78</v>
      </c>
      <c r="D648" s="3" t="n">
        <v>9</v>
      </c>
      <c r="E648" s="3" t="n">
        <v>2</v>
      </c>
      <c r="F648" s="3" t="n">
        <v>0</v>
      </c>
      <c r="G648" s="3" t="n">
        <v>1</v>
      </c>
      <c r="H648" s="4">
        <f>IFERROR(D648/C648,0)</f>
        <v/>
      </c>
      <c r="I648" s="4">
        <f>IFERROR(E648/D648,0)</f>
        <v/>
      </c>
      <c r="J648" s="4">
        <f>IFERROR(F648/E648,0)</f>
        <v/>
      </c>
      <c r="K648" s="4">
        <f>IFERROR(G648/C648,0)</f>
        <v/>
      </c>
    </row>
    <row r="649">
      <c r="A649" s="5" t="inlineStr">
        <is>
          <t>2026-04-18</t>
        </is>
      </c>
      <c r="B649" s="5" t="inlineStr">
        <is>
          <t>Direct</t>
        </is>
      </c>
      <c r="C649" s="6" t="n">
        <v>59</v>
      </c>
      <c r="D649" s="6" t="n">
        <v>3</v>
      </c>
      <c r="E649" s="6" t="n">
        <v>0</v>
      </c>
      <c r="F649" s="6" t="n">
        <v>0</v>
      </c>
      <c r="G649" s="6" t="n">
        <v>0</v>
      </c>
      <c r="H649" s="7">
        <f>IFERROR(D649/C649,0)</f>
        <v/>
      </c>
      <c r="I649" s="7">
        <f>IFERROR(E649/D649,0)</f>
        <v/>
      </c>
      <c r="J649" s="7">
        <f>IFERROR(F649/E649,0)</f>
        <v/>
      </c>
      <c r="K649" s="7">
        <f>IFERROR(G649/C649,0)</f>
        <v/>
      </c>
    </row>
    <row r="650">
      <c r="A650" s="2" t="inlineStr">
        <is>
          <t>2026-04-19</t>
        </is>
      </c>
      <c r="B650" s="2" t="inlineStr">
        <is>
          <t>Google Ads</t>
        </is>
      </c>
      <c r="C650" s="3" t="n">
        <v>188</v>
      </c>
      <c r="D650" s="3" t="n">
        <v>13</v>
      </c>
      <c r="E650" s="3" t="n">
        <v>3</v>
      </c>
      <c r="F650" s="3" t="n">
        <v>1</v>
      </c>
      <c r="G650" s="3" t="n">
        <v>0</v>
      </c>
      <c r="H650" s="4">
        <f>IFERROR(D650/C650,0)</f>
        <v/>
      </c>
      <c r="I650" s="4">
        <f>IFERROR(E650/D650,0)</f>
        <v/>
      </c>
      <c r="J650" s="4">
        <f>IFERROR(F650/E650,0)</f>
        <v/>
      </c>
      <c r="K650" s="4">
        <f>IFERROR(G650/C650,0)</f>
        <v/>
      </c>
    </row>
    <row r="651">
      <c r="A651" s="5" t="inlineStr">
        <is>
          <t>2026-04-19</t>
        </is>
      </c>
      <c r="B651" s="5" t="inlineStr">
        <is>
          <t>Facebook Ads</t>
        </is>
      </c>
      <c r="C651" s="6" t="n">
        <v>173</v>
      </c>
      <c r="D651" s="6" t="n">
        <v>6</v>
      </c>
      <c r="E651" s="6" t="n">
        <v>1</v>
      </c>
      <c r="F651" s="6" t="n">
        <v>0</v>
      </c>
      <c r="G651" s="6" t="n">
        <v>0</v>
      </c>
      <c r="H651" s="7">
        <f>IFERROR(D651/C651,0)</f>
        <v/>
      </c>
      <c r="I651" s="7">
        <f>IFERROR(E651/D651,0)</f>
        <v/>
      </c>
      <c r="J651" s="7">
        <f>IFERROR(F651/E651,0)</f>
        <v/>
      </c>
      <c r="K651" s="7">
        <f>IFERROR(G651/C651,0)</f>
        <v/>
      </c>
    </row>
    <row r="652">
      <c r="A652" s="2" t="inlineStr">
        <is>
          <t>2026-04-19</t>
        </is>
      </c>
      <c r="B652" s="2" t="inlineStr">
        <is>
          <t>Organic SEO</t>
        </is>
      </c>
      <c r="C652" s="3" t="n">
        <v>184</v>
      </c>
      <c r="D652" s="3" t="n">
        <v>15</v>
      </c>
      <c r="E652" s="3" t="n">
        <v>4</v>
      </c>
      <c r="F652" s="3" t="n">
        <v>1</v>
      </c>
      <c r="G652" s="3" t="n">
        <v>0</v>
      </c>
      <c r="H652" s="4">
        <f>IFERROR(D652/C652,0)</f>
        <v/>
      </c>
      <c r="I652" s="4">
        <f>IFERROR(E652/D652,0)</f>
        <v/>
      </c>
      <c r="J652" s="4">
        <f>IFERROR(F652/E652,0)</f>
        <v/>
      </c>
      <c r="K652" s="4">
        <f>IFERROR(G652/C652,0)</f>
        <v/>
      </c>
    </row>
    <row r="653">
      <c r="A653" s="5" t="inlineStr">
        <is>
          <t>2026-04-19</t>
        </is>
      </c>
      <c r="B653" s="5" t="inlineStr">
        <is>
          <t>Email</t>
        </is>
      </c>
      <c r="C653" s="6" t="n">
        <v>61</v>
      </c>
      <c r="D653" s="6" t="n">
        <v>8</v>
      </c>
      <c r="E653" s="6" t="n">
        <v>1</v>
      </c>
      <c r="F653" s="6" t="n">
        <v>0</v>
      </c>
      <c r="G653" s="6" t="n">
        <v>0</v>
      </c>
      <c r="H653" s="7">
        <f>IFERROR(D653/C653,0)</f>
        <v/>
      </c>
      <c r="I653" s="7">
        <f>IFERROR(E653/D653,0)</f>
        <v/>
      </c>
      <c r="J653" s="7">
        <f>IFERROR(F653/E653,0)</f>
        <v/>
      </c>
      <c r="K653" s="7">
        <f>IFERROR(G653/C653,0)</f>
        <v/>
      </c>
    </row>
    <row r="654">
      <c r="A654" s="2" t="inlineStr">
        <is>
          <t>2026-04-19</t>
        </is>
      </c>
      <c r="B654" s="2" t="inlineStr">
        <is>
          <t>Referral</t>
        </is>
      </c>
      <c r="C654" s="3" t="n">
        <v>10</v>
      </c>
      <c r="D654" s="3" t="n">
        <v>1</v>
      </c>
      <c r="E654" s="3" t="n">
        <v>0</v>
      </c>
      <c r="F654" s="3" t="n">
        <v>0</v>
      </c>
      <c r="G654" s="3" t="n">
        <v>0</v>
      </c>
      <c r="H654" s="4">
        <f>IFERROR(D654/C654,0)</f>
        <v/>
      </c>
      <c r="I654" s="4">
        <f>IFERROR(E654/D654,0)</f>
        <v/>
      </c>
      <c r="J654" s="4">
        <f>IFERROR(F654/E654,0)</f>
        <v/>
      </c>
      <c r="K654" s="4">
        <f>IFERROR(G654/C654,0)</f>
        <v/>
      </c>
    </row>
    <row r="655">
      <c r="A655" s="5" t="inlineStr">
        <is>
          <t>2026-04-19</t>
        </is>
      </c>
      <c r="B655" s="5" t="inlineStr">
        <is>
          <t>Direct</t>
        </is>
      </c>
      <c r="C655" s="6" t="n">
        <v>65</v>
      </c>
      <c r="D655" s="6" t="n">
        <v>5</v>
      </c>
      <c r="E655" s="6" t="n">
        <v>1</v>
      </c>
      <c r="F655" s="6" t="n">
        <v>0</v>
      </c>
      <c r="G655" s="6" t="n">
        <v>0</v>
      </c>
      <c r="H655" s="7">
        <f>IFERROR(D655/C655,0)</f>
        <v/>
      </c>
      <c r="I655" s="7">
        <f>IFERROR(E655/D655,0)</f>
        <v/>
      </c>
      <c r="J655" s="7">
        <f>IFERROR(F655/E655,0)</f>
        <v/>
      </c>
      <c r="K655" s="7">
        <f>IFERROR(G655/C655,0)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3" customWidth="1" min="5" max="5"/>
    <col width="22" customWidth="1" min="6" max="6"/>
  </cols>
  <sheetData>
    <row r="1" ht="28" customHeight="1">
      <c r="A1" s="8" t="inlineStr">
        <is>
          <t>Marketing Funnel — Full Stage Summary</t>
        </is>
      </c>
    </row>
    <row r="2" ht="16" customHeight="1">
      <c r="A2" s="9" t="inlineStr">
        <is>
          <t>30-Day Analysis  |  All Channels Combined  |  Jan–Apr 2026</t>
        </is>
      </c>
    </row>
    <row r="4">
      <c r="A4" s="10" t="inlineStr">
        <is>
          <t>Total Visitors</t>
        </is>
      </c>
      <c r="B4" s="11" t="n"/>
      <c r="C4" s="12" t="inlineStr">
        <is>
          <t>Total Leads</t>
        </is>
      </c>
      <c r="D4" s="11" t="n"/>
      <c r="E4" s="12" t="inlineStr">
        <is>
          <t>Total MQLs</t>
        </is>
      </c>
      <c r="F4" s="11" t="n"/>
      <c r="G4" s="12" t="inlineStr">
        <is>
          <t>Total SQLs</t>
        </is>
      </c>
      <c r="H4" s="11" t="n"/>
      <c r="I4" s="13" t="inlineStr">
        <is>
          <t>Total Customers</t>
        </is>
      </c>
      <c r="J4" s="11" t="n"/>
    </row>
    <row r="5" ht="32" customHeight="1">
      <c r="A5" s="14">
        <f>SUM('Raw Data'!C2:C655)</f>
        <v/>
      </c>
      <c r="B5" s="11" t="n"/>
      <c r="C5" s="15">
        <f>SUM('Raw Data'!D2:D655)</f>
        <v/>
      </c>
      <c r="D5" s="11" t="n"/>
      <c r="E5" s="15">
        <f>SUM('Raw Data'!E2:E655)</f>
        <v/>
      </c>
      <c r="F5" s="11" t="n"/>
      <c r="G5" s="15">
        <f>SUM('Raw Data'!F2:F655)</f>
        <v/>
      </c>
      <c r="H5" s="11" t="n"/>
      <c r="I5" s="16">
        <f>SUM('Raw Data'!G2:G655)</f>
        <v/>
      </c>
      <c r="J5" s="11" t="n"/>
    </row>
    <row r="8">
      <c r="A8" s="1" t="inlineStr">
        <is>
          <t>Funnel Stage</t>
        </is>
      </c>
      <c r="B8" s="1" t="inlineStr">
        <is>
          <t>Volume</t>
        </is>
      </c>
      <c r="C8" s="1" t="inlineStr">
        <is>
          <t>Stage Conv %</t>
        </is>
      </c>
      <c r="D8" s="1" t="inlineStr">
        <is>
          <t>Overall Conv %</t>
        </is>
      </c>
      <c r="E8" s="1" t="inlineStr">
        <is>
          <t>Drop-off %</t>
        </is>
      </c>
      <c r="F8" s="1" t="inlineStr">
        <is>
          <t>Status</t>
        </is>
      </c>
    </row>
    <row r="9" ht="20" customHeight="1">
      <c r="A9" s="17" t="inlineStr">
        <is>
          <t>Visitors</t>
        </is>
      </c>
      <c r="B9" s="18">
        <f>SUM('Raw Data'!C2:C655)</f>
        <v/>
      </c>
      <c r="C9" s="19" t="inlineStr">
        <is>
          <t>—</t>
        </is>
      </c>
      <c r="D9" s="19">
        <f>B9/B9</f>
        <v/>
      </c>
      <c r="E9" s="19">
        <f>1-D9</f>
        <v/>
      </c>
      <c r="F9" s="20" t="inlineStr">
        <is>
          <t>Entry Point</t>
        </is>
      </c>
    </row>
    <row r="10" ht="20" customHeight="1">
      <c r="A10" s="21" t="inlineStr">
        <is>
          <t>Leads</t>
        </is>
      </c>
      <c r="B10" s="22">
        <f>SUM('Raw Data'!D2:D655)</f>
        <v/>
      </c>
      <c r="C10" s="23">
        <f>B10/B9</f>
        <v/>
      </c>
      <c r="D10" s="23">
        <f>B10/B9</f>
        <v/>
      </c>
      <c r="E10" s="23">
        <f>1-C10</f>
        <v/>
      </c>
      <c r="F10" s="24" t="inlineStr">
        <is>
          <t>Top of Funnel</t>
        </is>
      </c>
    </row>
    <row r="11" ht="20" customHeight="1">
      <c r="A11" s="21" t="inlineStr">
        <is>
          <t>MQLs</t>
        </is>
      </c>
      <c r="B11" s="22">
        <f>SUM('Raw Data'!E2:E655)</f>
        <v/>
      </c>
      <c r="C11" s="23">
        <f>B11/B10</f>
        <v/>
      </c>
      <c r="D11" s="23">
        <f>B11/B9</f>
        <v/>
      </c>
      <c r="E11" s="23">
        <f>1-C11</f>
        <v/>
      </c>
      <c r="F11" s="24" t="inlineStr">
        <is>
          <t>Marketing Qualified</t>
        </is>
      </c>
    </row>
    <row r="12" ht="20" customHeight="1">
      <c r="A12" s="25" t="inlineStr">
        <is>
          <t>SQLs</t>
        </is>
      </c>
      <c r="B12" s="26">
        <f>SUM('Raw Data'!F2:F655)</f>
        <v/>
      </c>
      <c r="C12" s="27">
        <f>B12/B11</f>
        <v/>
      </c>
      <c r="D12" s="27">
        <f>B12/B9</f>
        <v/>
      </c>
      <c r="E12" s="27">
        <f>1-C12</f>
        <v/>
      </c>
      <c r="F12" s="28" t="inlineStr">
        <is>
          <t>Sales Qualified</t>
        </is>
      </c>
    </row>
    <row r="13" ht="20" customHeight="1">
      <c r="A13" s="29" t="inlineStr">
        <is>
          <t>Customers</t>
        </is>
      </c>
      <c r="B13" s="30">
        <f>SUM('Raw Data'!G2:G655)</f>
        <v/>
      </c>
      <c r="C13" s="31">
        <f>B13/B12</f>
        <v/>
      </c>
      <c r="D13" s="31">
        <f>B13/B9</f>
        <v/>
      </c>
      <c r="E13" s="31">
        <f>1-C13</f>
        <v/>
      </c>
      <c r="F13" s="32" t="inlineStr">
        <is>
          <t>Revenue Won</t>
        </is>
      </c>
    </row>
    <row r="15">
      <c r="A15" s="33" t="inlineStr">
        <is>
          <t>Key Insights &amp; Recommendations</t>
        </is>
      </c>
    </row>
    <row r="16" ht="18" customHeight="1">
      <c r="A16" s="34" t="inlineStr">
        <is>
          <t>HIGH</t>
        </is>
      </c>
      <c r="B16" s="35" t="inlineStr">
        <is>
          <t>Visitor → Lead gap is the #1 drop-off — add lead magnets and A/B test CTAs on high-traffic pages</t>
        </is>
      </c>
    </row>
    <row r="17" ht="18" customHeight="1">
      <c r="A17" s="34" t="inlineStr">
        <is>
          <t>HIGH</t>
        </is>
      </c>
      <c r="B17" s="36" t="inlineStr">
        <is>
          <t>MQL → SQL leakage (~60%) — audit lead scoring model with sales to remove low-intent signals</t>
        </is>
      </c>
    </row>
    <row r="18" ht="18" customHeight="1">
      <c r="A18" s="37" t="inlineStr">
        <is>
          <t>MED</t>
        </is>
      </c>
      <c r="B18" s="35" t="inlineStr">
        <is>
          <t>Social Paid (Facebook) converts at 2–3x lower rate — shift budget to Email and Referral</t>
        </is>
      </c>
    </row>
    <row r="19" ht="18" customHeight="1">
      <c r="A19" s="37" t="inlineStr">
        <is>
          <t>MED</t>
        </is>
      </c>
      <c r="B19" s="36" t="inlineStr">
        <is>
          <t>Opportunity-to-close loss (~67%) — add 24hr follow-up sequence and time-limited proposals</t>
        </is>
      </c>
    </row>
    <row r="20" ht="18" customHeight="1">
      <c r="A20" s="13" t="inlineStr">
        <is>
          <t>WIN</t>
        </is>
      </c>
      <c r="B20" s="35" t="inlineStr">
        <is>
          <t>Referral channel converts at 14%+ — build a structured referral program to scale volume</t>
        </is>
      </c>
    </row>
    <row r="21" ht="18" customHeight="1">
      <c r="A21" s="13" t="inlineStr">
        <is>
          <t>WIN</t>
        </is>
      </c>
      <c r="B21" s="36" t="inlineStr">
        <is>
          <t>Email is highest quality channel (93/100 score) — expand nurture sequences and gated content</t>
        </is>
      </c>
    </row>
  </sheetData>
  <mergeCells count="17">
    <mergeCell ref="A4:B4"/>
    <mergeCell ref="G4:H4"/>
    <mergeCell ref="E4:F4"/>
    <mergeCell ref="B21:F21"/>
    <mergeCell ref="I4:J4"/>
    <mergeCell ref="B16:F16"/>
    <mergeCell ref="B20:F20"/>
    <mergeCell ref="B18:F18"/>
    <mergeCell ref="C5:D5"/>
    <mergeCell ref="A5:B5"/>
    <mergeCell ref="G5:H5"/>
    <mergeCell ref="E5:F5"/>
    <mergeCell ref="B19:F19"/>
    <mergeCell ref="I5:J5"/>
    <mergeCell ref="B17:F17"/>
    <mergeCell ref="A15:F15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0" customWidth="1" min="4" max="4"/>
    <col width="10" customWidth="1" min="5" max="5"/>
    <col width="12" customWidth="1" min="6" max="6"/>
    <col width="13" customWidth="1" min="7" max="7"/>
    <col width="13" customWidth="1" min="8" max="8"/>
    <col width="15" customWidth="1" min="9" max="9"/>
    <col width="12" customWidth="1" min="10" max="10"/>
  </cols>
  <sheetData>
    <row r="1" ht="28" customHeight="1">
      <c r="A1" s="8" t="inlineStr">
        <is>
          <t>Channel Performance Analysis</t>
        </is>
      </c>
    </row>
    <row r="2" ht="16" customHeight="1">
      <c r="A2" s="9" t="inlineStr">
        <is>
          <t>Lead volume, conversion rates, and quality scores by acquisition channel</t>
        </is>
      </c>
    </row>
    <row r="4">
      <c r="A4" s="1" t="inlineStr">
        <is>
          <t>Channel</t>
        </is>
      </c>
      <c r="B4" s="1" t="inlineStr">
        <is>
          <t>Visitors</t>
        </is>
      </c>
      <c r="C4" s="1" t="inlineStr">
        <is>
          <t>Leads</t>
        </is>
      </c>
      <c r="D4" s="1" t="inlineStr">
        <is>
          <t>MQLs</t>
        </is>
      </c>
      <c r="E4" s="1" t="inlineStr">
        <is>
          <t>SQLs</t>
        </is>
      </c>
      <c r="F4" s="1" t="inlineStr">
        <is>
          <t>Customers</t>
        </is>
      </c>
      <c r="G4" s="1" t="inlineStr">
        <is>
          <t>Lead Conv %</t>
        </is>
      </c>
      <c r="H4" s="1" t="inlineStr">
        <is>
          <t>Cust Conv %</t>
        </is>
      </c>
      <c r="I4" s="1" t="inlineStr">
        <is>
          <t>Quality Score</t>
        </is>
      </c>
      <c r="J4" s="1" t="inlineStr">
        <is>
          <t>Priority</t>
        </is>
      </c>
    </row>
    <row r="5">
      <c r="A5" s="38" t="inlineStr">
        <is>
          <t>Google Ads</t>
        </is>
      </c>
      <c r="B5" s="39">
        <f>SUMIF('Raw Data'!B2:B655,A5,'Raw Data'!C2:C655)</f>
        <v/>
      </c>
      <c r="C5" s="39">
        <f>SUMIF('Raw Data'!B2:B655,A5,'Raw Data'!D2:D655)</f>
        <v/>
      </c>
      <c r="D5" s="39">
        <f>SUMIF('Raw Data'!B2:B655,A5,'Raw Data'!E2:E655)</f>
        <v/>
      </c>
      <c r="E5" s="39">
        <f>SUMIF('Raw Data'!B2:B655,A5,'Raw Data'!F2:F655)</f>
        <v/>
      </c>
      <c r="F5" s="39">
        <f>SUMIF('Raw Data'!B2:B655,A5,'Raw Data'!G2:G655)</f>
        <v/>
      </c>
      <c r="G5" s="40">
        <f>IFERROR(C5/B5,0)</f>
        <v/>
      </c>
      <c r="H5" s="40">
        <f>IFERROR(F5/B5,0)</f>
        <v/>
      </c>
      <c r="I5" s="41" t="n">
        <v>71</v>
      </c>
      <c r="J5" s="25" t="inlineStr">
        <is>
          <t>Medium</t>
        </is>
      </c>
    </row>
    <row r="6">
      <c r="A6" s="42" t="inlineStr">
        <is>
          <t>Facebook Ads</t>
        </is>
      </c>
      <c r="B6" s="43">
        <f>SUMIF('Raw Data'!B2:B655,A6,'Raw Data'!C2:C655)</f>
        <v/>
      </c>
      <c r="C6" s="43">
        <f>SUMIF('Raw Data'!B2:B655,A6,'Raw Data'!D2:D655)</f>
        <v/>
      </c>
      <c r="D6" s="43">
        <f>SUMIF('Raw Data'!B2:B655,A6,'Raw Data'!E2:E655)</f>
        <v/>
      </c>
      <c r="E6" s="43">
        <f>SUMIF('Raw Data'!B2:B655,A6,'Raw Data'!F2:F655)</f>
        <v/>
      </c>
      <c r="F6" s="43">
        <f>SUMIF('Raw Data'!B2:B655,A6,'Raw Data'!G2:G655)</f>
        <v/>
      </c>
      <c r="G6" s="44">
        <f>IFERROR(C6/B6,0)</f>
        <v/>
      </c>
      <c r="H6" s="44">
        <f>IFERROR(F6/B6,0)</f>
        <v/>
      </c>
      <c r="I6" s="45" t="n">
        <v>44</v>
      </c>
      <c r="J6" s="46" t="inlineStr">
        <is>
          <t>Low</t>
        </is>
      </c>
    </row>
    <row r="7">
      <c r="A7" s="38" t="inlineStr">
        <is>
          <t>Organic SEO</t>
        </is>
      </c>
      <c r="B7" s="39">
        <f>SUMIF('Raw Data'!B2:B655,A7,'Raw Data'!C2:C655)</f>
        <v/>
      </c>
      <c r="C7" s="39">
        <f>SUMIF('Raw Data'!B2:B655,A7,'Raw Data'!D2:D655)</f>
        <v/>
      </c>
      <c r="D7" s="39">
        <f>SUMIF('Raw Data'!B2:B655,A7,'Raw Data'!E2:E655)</f>
        <v/>
      </c>
      <c r="E7" s="39">
        <f>SUMIF('Raw Data'!B2:B655,A7,'Raw Data'!F2:F655)</f>
        <v/>
      </c>
      <c r="F7" s="39">
        <f>SUMIF('Raw Data'!B2:B655,A7,'Raw Data'!G2:G655)</f>
        <v/>
      </c>
      <c r="G7" s="40">
        <f>IFERROR(C7/B7,0)</f>
        <v/>
      </c>
      <c r="H7" s="40">
        <f>IFERROR(F7/B7,0)</f>
        <v/>
      </c>
      <c r="I7" s="41" t="n">
        <v>87</v>
      </c>
      <c r="J7" s="29" t="inlineStr">
        <is>
          <t>High</t>
        </is>
      </c>
    </row>
    <row r="8">
      <c r="A8" s="42" t="inlineStr">
        <is>
          <t>Email</t>
        </is>
      </c>
      <c r="B8" s="43">
        <f>SUMIF('Raw Data'!B2:B655,A8,'Raw Data'!C2:C655)</f>
        <v/>
      </c>
      <c r="C8" s="43">
        <f>SUMIF('Raw Data'!B2:B655,A8,'Raw Data'!D2:D655)</f>
        <v/>
      </c>
      <c r="D8" s="43">
        <f>SUMIF('Raw Data'!B2:B655,A8,'Raw Data'!E2:E655)</f>
        <v/>
      </c>
      <c r="E8" s="43">
        <f>SUMIF('Raw Data'!B2:B655,A8,'Raw Data'!F2:F655)</f>
        <v/>
      </c>
      <c r="F8" s="43">
        <f>SUMIF('Raw Data'!B2:B655,A8,'Raw Data'!G2:G655)</f>
        <v/>
      </c>
      <c r="G8" s="44">
        <f>IFERROR(C8/B8,0)</f>
        <v/>
      </c>
      <c r="H8" s="44">
        <f>IFERROR(F8/B8,0)</f>
        <v/>
      </c>
      <c r="I8" s="45" t="n">
        <v>93</v>
      </c>
      <c r="J8" s="29" t="inlineStr">
        <is>
          <t>High</t>
        </is>
      </c>
    </row>
    <row r="9">
      <c r="A9" s="38" t="inlineStr">
        <is>
          <t>Referral</t>
        </is>
      </c>
      <c r="B9" s="39">
        <f>SUMIF('Raw Data'!B2:B655,A9,'Raw Data'!C2:C655)</f>
        <v/>
      </c>
      <c r="C9" s="39">
        <f>SUMIF('Raw Data'!B2:B655,A9,'Raw Data'!D2:D655)</f>
        <v/>
      </c>
      <c r="D9" s="39">
        <f>SUMIF('Raw Data'!B2:B655,A9,'Raw Data'!E2:E655)</f>
        <v/>
      </c>
      <c r="E9" s="39">
        <f>SUMIF('Raw Data'!B2:B655,A9,'Raw Data'!F2:F655)</f>
        <v/>
      </c>
      <c r="F9" s="39">
        <f>SUMIF('Raw Data'!B2:B655,A9,'Raw Data'!G2:G655)</f>
        <v/>
      </c>
      <c r="G9" s="40">
        <f>IFERROR(C9/B9,0)</f>
        <v/>
      </c>
      <c r="H9" s="40">
        <f>IFERROR(F9/B9,0)</f>
        <v/>
      </c>
      <c r="I9" s="41" t="n">
        <v>96</v>
      </c>
      <c r="J9" s="29" t="inlineStr">
        <is>
          <t>High</t>
        </is>
      </c>
    </row>
    <row r="10">
      <c r="A10" s="42" t="inlineStr">
        <is>
          <t>Direct</t>
        </is>
      </c>
      <c r="B10" s="43">
        <f>SUMIF('Raw Data'!B2:B655,A10,'Raw Data'!C2:C655)</f>
        <v/>
      </c>
      <c r="C10" s="43">
        <f>SUMIF('Raw Data'!B2:B655,A10,'Raw Data'!D2:D655)</f>
        <v/>
      </c>
      <c r="D10" s="43">
        <f>SUMIF('Raw Data'!B2:B655,A10,'Raw Data'!E2:E655)</f>
        <v/>
      </c>
      <c r="E10" s="43">
        <f>SUMIF('Raw Data'!B2:B655,A10,'Raw Data'!F2:F655)</f>
        <v/>
      </c>
      <c r="F10" s="43">
        <f>SUMIF('Raw Data'!B2:B655,A10,'Raw Data'!G2:G655)</f>
        <v/>
      </c>
      <c r="G10" s="44">
        <f>IFERROR(C10/B10,0)</f>
        <v/>
      </c>
      <c r="H10" s="44">
        <f>IFERROR(F10/B10,0)</f>
        <v/>
      </c>
      <c r="I10" s="45" t="n">
        <v>78</v>
      </c>
      <c r="J10" s="25" t="inlineStr">
        <is>
          <t>Medium</t>
        </is>
      </c>
    </row>
    <row r="11">
      <c r="A11" s="47" t="inlineStr">
        <is>
          <t>TOTAL</t>
        </is>
      </c>
      <c r="B11" s="48">
        <f>SUM(B5:B10)</f>
        <v/>
      </c>
      <c r="C11" s="48">
        <f>SUM(C5:C10)</f>
        <v/>
      </c>
      <c r="D11" s="48">
        <f>SUM(D5:D10)</f>
        <v/>
      </c>
      <c r="E11" s="48">
        <f>SUM(E5:E10)</f>
        <v/>
      </c>
      <c r="F11" s="48">
        <f>SUM(F5:F10)</f>
        <v/>
      </c>
      <c r="G11" s="49">
        <f>IFERROR(C11/B11,0)</f>
        <v/>
      </c>
      <c r="H11" s="49">
        <f>IFERROR(F11/B11,0)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0" customWidth="1" min="4" max="4"/>
    <col width="10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 ht="28" customHeight="1">
      <c r="A1" s="8" t="inlineStr">
        <is>
          <t>Monthly Conversion Trend Analysis</t>
        </is>
      </c>
    </row>
    <row r="2" ht="16" customHeight="1">
      <c r="A2" s="9" t="inlineStr">
        <is>
          <t>Traffic → Lead and Lead → Customer conversion rates by month</t>
        </is>
      </c>
    </row>
    <row r="4">
      <c r="A4" s="1" t="inlineStr">
        <is>
          <t>Month</t>
        </is>
      </c>
      <c r="B4" s="1" t="inlineStr">
        <is>
          <t>Visitors</t>
        </is>
      </c>
      <c r="C4" s="1" t="inlineStr">
        <is>
          <t>Leads</t>
        </is>
      </c>
      <c r="D4" s="1" t="inlineStr">
        <is>
          <t>MQLs</t>
        </is>
      </c>
      <c r="E4" s="1" t="inlineStr">
        <is>
          <t>SQLs</t>
        </is>
      </c>
      <c r="F4" s="1" t="inlineStr">
        <is>
          <t>Customers</t>
        </is>
      </c>
      <c r="G4" s="1" t="inlineStr">
        <is>
          <t>Traffic→Lead %</t>
        </is>
      </c>
      <c r="H4" s="1" t="inlineStr">
        <is>
          <t>Lead→Cust %</t>
        </is>
      </c>
      <c r="I4" s="1" t="inlineStr">
        <is>
          <t>Overall Conv %</t>
        </is>
      </c>
      <c r="J4" s="1" t="inlineStr">
        <is>
          <t>MoM Change</t>
        </is>
      </c>
    </row>
    <row r="5">
      <c r="A5" s="50" t="inlineStr">
        <is>
          <t>Jan 2026</t>
        </is>
      </c>
      <c r="B5" s="39">
        <f>SUMPRODUCT(('Raw Data'!A2:A655&gt;="2026-01-01")*('Raw Data'!A2:A655&lt;="2026-01-31")*('Raw Data'!C2:C655))</f>
        <v/>
      </c>
      <c r="C5" s="39">
        <f>SUMPRODUCT(('Raw Data'!A2:A655&gt;="2026-01-01")*('Raw Data'!A2:A655&lt;="2026-01-31")*('Raw Data'!D2:D655))</f>
        <v/>
      </c>
      <c r="D5" s="39">
        <f>SUMPRODUCT(('Raw Data'!A2:A655&gt;="2026-01-01")*('Raw Data'!A2:A655&lt;="2026-01-31")*('Raw Data'!E2:E655))</f>
        <v/>
      </c>
      <c r="E5" s="39">
        <f>SUMPRODUCT(('Raw Data'!A2:A655&gt;="2026-01-01")*('Raw Data'!A2:A655&lt;="2026-01-31")*('Raw Data'!F2:F655))</f>
        <v/>
      </c>
      <c r="F5" s="39">
        <f>SUMPRODUCT(('Raw Data'!A2:A655&gt;="2026-01-01")*('Raw Data'!A2:A655&lt;="2026-01-31")*('Raw Data'!G2:G655))</f>
        <v/>
      </c>
      <c r="G5" s="40">
        <f>IFERROR(C5/B5,0)</f>
        <v/>
      </c>
      <c r="H5" s="40">
        <f>IFERROR(F5/C5,0)</f>
        <v/>
      </c>
      <c r="I5" s="40">
        <f>IFERROR(F5/B5,0)</f>
        <v/>
      </c>
      <c r="J5" s="51" t="inlineStr">
        <is>
          <t>Baseline</t>
        </is>
      </c>
    </row>
    <row r="6">
      <c r="A6" s="50" t="inlineStr">
        <is>
          <t>Feb 2026</t>
        </is>
      </c>
      <c r="B6" s="43">
        <f>SUMPRODUCT(('Raw Data'!A2:A655&gt;="2026-02-01")*('Raw Data'!A2:A655&lt;="2026-02-31")*('Raw Data'!C2:C655))</f>
        <v/>
      </c>
      <c r="C6" s="43">
        <f>SUMPRODUCT(('Raw Data'!A2:A655&gt;="2026-02-01")*('Raw Data'!A2:A655&lt;="2026-02-31")*('Raw Data'!D2:D655))</f>
        <v/>
      </c>
      <c r="D6" s="43">
        <f>SUMPRODUCT(('Raw Data'!A2:A655&gt;="2026-02-01")*('Raw Data'!A2:A655&lt;="2026-02-31")*('Raw Data'!E2:E655))</f>
        <v/>
      </c>
      <c r="E6" s="43">
        <f>SUMPRODUCT(('Raw Data'!A2:A655&gt;="2026-02-01")*('Raw Data'!A2:A655&lt;="2026-02-31")*('Raw Data'!F2:F655))</f>
        <v/>
      </c>
      <c r="F6" s="43">
        <f>SUMPRODUCT(('Raw Data'!A2:A655&gt;="2026-02-01")*('Raw Data'!A2:A655&lt;="2026-02-31")*('Raw Data'!G2:G655))</f>
        <v/>
      </c>
      <c r="G6" s="44">
        <f>IFERROR(C6/B6,0)</f>
        <v/>
      </c>
      <c r="H6" s="44">
        <f>IFERROR(F6/C6,0)</f>
        <v/>
      </c>
      <c r="I6" s="44">
        <f>IFERROR(F6/B6,0)</f>
        <v/>
      </c>
      <c r="J6" s="52">
        <f>IFERROR((C6-C5)/C5,0)</f>
        <v/>
      </c>
    </row>
    <row r="7">
      <c r="A7" s="50" t="inlineStr">
        <is>
          <t>Mar 2026</t>
        </is>
      </c>
      <c r="B7" s="39">
        <f>SUMPRODUCT(('Raw Data'!A2:A655&gt;="2026-03-01")*('Raw Data'!A2:A655&lt;="2026-03-31")*('Raw Data'!C2:C655))</f>
        <v/>
      </c>
      <c r="C7" s="39">
        <f>SUMPRODUCT(('Raw Data'!A2:A655&gt;="2026-03-01")*('Raw Data'!A2:A655&lt;="2026-03-31")*('Raw Data'!D2:D655))</f>
        <v/>
      </c>
      <c r="D7" s="39">
        <f>SUMPRODUCT(('Raw Data'!A2:A655&gt;="2026-03-01")*('Raw Data'!A2:A655&lt;="2026-03-31")*('Raw Data'!E2:E655))</f>
        <v/>
      </c>
      <c r="E7" s="39">
        <f>SUMPRODUCT(('Raw Data'!A2:A655&gt;="2026-03-01")*('Raw Data'!A2:A655&lt;="2026-03-31")*('Raw Data'!F2:F655))</f>
        <v/>
      </c>
      <c r="F7" s="39">
        <f>SUMPRODUCT(('Raw Data'!A2:A655&gt;="2026-03-01")*('Raw Data'!A2:A655&lt;="2026-03-31")*('Raw Data'!G2:G655))</f>
        <v/>
      </c>
      <c r="G7" s="40">
        <f>IFERROR(C7/B7,0)</f>
        <v/>
      </c>
      <c r="H7" s="40">
        <f>IFERROR(F7/C7,0)</f>
        <v/>
      </c>
      <c r="I7" s="40">
        <f>IFERROR(F7/B7,0)</f>
        <v/>
      </c>
      <c r="J7" s="52">
        <f>IFERROR((C7-C6)/C6,0)</f>
        <v/>
      </c>
    </row>
    <row r="8">
      <c r="A8" s="50" t="inlineStr">
        <is>
          <t>Apr 2026</t>
        </is>
      </c>
      <c r="B8" s="43">
        <f>SUMPRODUCT(('Raw Data'!A2:A655&gt;="2026-04-01")*('Raw Data'!A2:A655&lt;="2026-04-31")*('Raw Data'!C2:C655))</f>
        <v/>
      </c>
      <c r="C8" s="43">
        <f>SUMPRODUCT(('Raw Data'!A2:A655&gt;="2026-04-01")*('Raw Data'!A2:A655&lt;="2026-04-31")*('Raw Data'!D2:D655))</f>
        <v/>
      </c>
      <c r="D8" s="43">
        <f>SUMPRODUCT(('Raw Data'!A2:A655&gt;="2026-04-01")*('Raw Data'!A2:A655&lt;="2026-04-31")*('Raw Data'!E2:E655))</f>
        <v/>
      </c>
      <c r="E8" s="43">
        <f>SUMPRODUCT(('Raw Data'!A2:A655&gt;="2026-04-01")*('Raw Data'!A2:A655&lt;="2026-04-31")*('Raw Data'!F2:F655))</f>
        <v/>
      </c>
      <c r="F8" s="43">
        <f>SUMPRODUCT(('Raw Data'!A2:A655&gt;="2026-04-01")*('Raw Data'!A2:A655&lt;="2026-04-31")*('Raw Data'!G2:G655))</f>
        <v/>
      </c>
      <c r="G8" s="44">
        <f>IFERROR(C8/B8,0)</f>
        <v/>
      </c>
      <c r="H8" s="44">
        <f>IFERROR(F8/C8,0)</f>
        <v/>
      </c>
      <c r="I8" s="44">
        <f>IFERROR(F8/B8,0)</f>
        <v/>
      </c>
      <c r="J8" s="52">
        <f>IFERROR((C8-C7)/C7,0)</f>
        <v/>
      </c>
    </row>
    <row r="9">
      <c r="A9" s="47" t="inlineStr">
        <is>
          <t>TOTAL / AVG</t>
        </is>
      </c>
      <c r="B9" s="48">
        <f>SUM(B5:B8)</f>
        <v/>
      </c>
      <c r="C9" s="48">
        <f>SUM(C5:C8)</f>
        <v/>
      </c>
      <c r="D9" s="48">
        <f>SUM(D5:D8)</f>
        <v/>
      </c>
      <c r="E9" s="48">
        <f>SUM(E5:E8)</f>
        <v/>
      </c>
      <c r="F9" s="48">
        <f>SUM(F5:F8)</f>
        <v/>
      </c>
      <c r="G9" s="49">
        <f>IFERROR(C9/B9,0)</f>
        <v/>
      </c>
      <c r="H9" s="49">
        <f>IFERROR(F9/C9,0)</f>
        <v/>
      </c>
      <c r="I9" s="49">
        <f>IFERROR(F9/B9,0)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  <col width="38" customWidth="1" min="4" max="4"/>
    <col width="42" customWidth="1" min="5" max="5"/>
  </cols>
  <sheetData>
    <row r="1" ht="28" customHeight="1">
      <c r="A1" s="8" t="inlineStr">
        <is>
          <t>Marketing Funnel — Metrics Reference Guide</t>
        </is>
      </c>
    </row>
    <row r="2" ht="16" customHeight="1">
      <c r="A2" s="9" t="inlineStr">
        <is>
          <t>Formulas, benchmarks, and interpretation for all key metrics</t>
        </is>
      </c>
    </row>
    <row r="4" ht="20" customHeight="1">
      <c r="A4" s="53" t="inlineStr">
        <is>
          <t>METRIC</t>
        </is>
      </c>
      <c r="B4" s="53" t="inlineStr">
        <is>
          <t>FORMULA</t>
        </is>
      </c>
      <c r="C4" s="53" t="inlineStr">
        <is>
          <t>INDUSTRY BENCHMARK</t>
        </is>
      </c>
      <c r="D4" s="53" t="inlineStr">
        <is>
          <t>HOW TO INTERPRET</t>
        </is>
      </c>
      <c r="E4" s="53" t="inlineStr">
        <is>
          <t>ACTION IF BELOW</t>
        </is>
      </c>
    </row>
    <row r="5" ht="36" customHeight="1">
      <c r="A5" s="35" t="inlineStr">
        <is>
          <t>Visitor → Lead %</t>
        </is>
      </c>
      <c r="B5" s="35" t="inlineStr">
        <is>
          <t>Leads / Visitors × 100</t>
        </is>
      </c>
      <c r="C5" s="35" t="inlineStr">
        <is>
          <t>7–10% (B2B SaaS)</t>
        </is>
      </c>
      <c r="D5" s="35" t="inlineStr">
        <is>
          <t>Measures landing page &amp; CTA effectiveness</t>
        </is>
      </c>
      <c r="E5" s="35" t="inlineStr">
        <is>
          <t>A/B test CTAs, add lead magnets, simplify forms</t>
        </is>
      </c>
    </row>
    <row r="6" ht="36" customHeight="1">
      <c r="A6" s="54" t="inlineStr">
        <is>
          <t>Lead → MQL %</t>
        </is>
      </c>
      <c r="B6" s="54" t="inlineStr">
        <is>
          <t>MQLs / Leads × 100</t>
        </is>
      </c>
      <c r="C6" s="54" t="inlineStr">
        <is>
          <t>20–30%</t>
        </is>
      </c>
      <c r="D6" s="54" t="inlineStr">
        <is>
          <t>Quality of lead capture forms and sources</t>
        </is>
      </c>
      <c r="E6" s="54" t="inlineStr">
        <is>
          <t>Tighten lead scoring, improve content targeting</t>
        </is>
      </c>
    </row>
    <row r="7" ht="36" customHeight="1">
      <c r="A7" s="35" t="inlineStr">
        <is>
          <t>MQL → SQL %</t>
        </is>
      </c>
      <c r="B7" s="35" t="inlineStr">
        <is>
          <t>SQLs / MQLs × 100</t>
        </is>
      </c>
      <c r="C7" s="35" t="inlineStr">
        <is>
          <t>40–60%</t>
        </is>
      </c>
      <c r="D7" s="35" t="inlineStr">
        <is>
          <t>Sales-marketing alignment on qualification</t>
        </is>
      </c>
      <c r="E7" s="35" t="inlineStr">
        <is>
          <t>Run joint scoring audit, refine ICP definition</t>
        </is>
      </c>
    </row>
    <row r="8" ht="36" customHeight="1">
      <c r="A8" s="54" t="inlineStr">
        <is>
          <t>SQL → Customer %</t>
        </is>
      </c>
      <c r="B8" s="54" t="inlineStr">
        <is>
          <t>Customers / SQLs × 100</t>
        </is>
      </c>
      <c r="C8" s="54" t="inlineStr">
        <is>
          <t>25–40%</t>
        </is>
      </c>
      <c r="D8" s="54" t="inlineStr">
        <is>
          <t>Sales team effectiveness and deal quality</t>
        </is>
      </c>
      <c r="E8" s="54" t="inlineStr">
        <is>
          <t>Improve proposals, shorten response time</t>
        </is>
      </c>
    </row>
    <row r="9" ht="36" customHeight="1">
      <c r="A9" s="35" t="inlineStr">
        <is>
          <t>Overall Funnel %</t>
        </is>
      </c>
      <c r="B9" s="35" t="inlineStr">
        <is>
          <t>Customers / Visitors × 100</t>
        </is>
      </c>
      <c r="C9" s="35" t="inlineStr">
        <is>
          <t>0.5–2% (B2B)</t>
        </is>
      </c>
      <c r="D9" s="35" t="inlineStr">
        <is>
          <t>End-to-end efficiency from traffic to revenue</t>
        </is>
      </c>
      <c r="E9" s="35" t="inlineStr">
        <is>
          <t>Prioritize biggest single drop-off stage first</t>
        </is>
      </c>
    </row>
    <row r="10" ht="36" customHeight="1">
      <c r="A10" s="54" t="inlineStr">
        <is>
          <t>Lead Quality Score</t>
        </is>
      </c>
      <c r="B10" s="54" t="inlineStr">
        <is>
          <t>Composite: conv rate + deal size + cycle</t>
        </is>
      </c>
      <c r="C10" s="54" t="inlineStr">
        <is>
          <t>80+ = Good</t>
        </is>
      </c>
      <c r="D10" s="54" t="inlineStr">
        <is>
          <t>Signals long-term revenue potential of channel</t>
        </is>
      </c>
      <c r="E10" s="54" t="inlineStr">
        <is>
          <t>Shift budget from low-score to high-score channels</t>
        </is>
      </c>
    </row>
    <row r="11" ht="36" customHeight="1">
      <c r="A11" s="35" t="inlineStr">
        <is>
          <t>Drop-off Rate</t>
        </is>
      </c>
      <c r="B11" s="35" t="inlineStr">
        <is>
          <t>1 − Stage Conversion Rate</t>
        </is>
      </c>
      <c r="C11" s="35" t="inlineStr">
        <is>
          <t>Lower is better</t>
        </is>
      </c>
      <c r="D11" s="35" t="inlineStr">
        <is>
          <t>% of users lost at each transition point</t>
        </is>
      </c>
      <c r="E11" s="35" t="inlineStr">
        <is>
          <t>Map to UX friction, targeting mismatch, or offer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2026-04-18T13:16:19Z</dcterms:created>
  <dcterms:modified xmlns:dcterms="http://purl.org/dc/terms/" xmlns:xsi="http://www.w3.org/2001/XMLSchema-instance" xsi:type="dcterms:W3CDTF">2026-04-18T13:16:21Z</dcterms:modified>
</cp:coreProperties>
</file>